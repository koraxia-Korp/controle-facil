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mc:AlternateContent xmlns:mc="http://schemas.openxmlformats.org/markup-compatibility/2006">
    <mc:Choice Requires="x15">
      <x15ac:absPath xmlns:x15ac="http://schemas.microsoft.com/office/spreadsheetml/2010/11/ac" url="https://d.docs.live.net/FDAD2F08C05A94D7/Documentos/"/>
    </mc:Choice>
  </mc:AlternateContent>
  <xr:revisionPtr revIDLastSave="0" documentId="8_{2AC2EC0B-DC58-4315-8290-A759FB9EB80F}" xr6:coauthVersionLast="47" xr6:coauthVersionMax="47" xr10:uidLastSave="{00000000-0000-0000-0000-000000000000}"/>
  <bookViews>
    <workbookView xWindow="-108" yWindow="-108" windowWidth="23256" windowHeight="12456" tabRatio="809" xr2:uid="{2C1A2B6E-5374-48C6-9D4B-86B4074921C8}"/>
  </bookViews>
  <sheets>
    <sheet name="Metricas" sheetId="6" r:id="rId1"/>
    <sheet name="Funcionários" sheetId="3" r:id="rId2"/>
    <sheet name="Operação" sheetId="5" r:id="rId3"/>
    <sheet name="Embalagens" sheetId="2" r:id="rId4"/>
    <sheet name="Insumos" sheetId="1" r:id="rId5"/>
    <sheet name="produto" sheetId="4" r:id="rId6"/>
    <sheet name="Combos" sheetId="7" r:id="rId7"/>
    <sheet name="Calculo de COMBOS" sheetId="8" r:id="rId8"/>
  </sheets>
  <definedNames>
    <definedName name="_xlnm._FilterDatabase" localSheetId="6" hidden="1">Combos!$A$1:$D$70</definedName>
  </definedNames>
  <calcPr calcId="191028"/>
  <pivotCaches>
    <pivotCache cacheId="452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6" l="1"/>
  <c r="G4" i="3"/>
  <c r="G6" i="3"/>
  <c r="G7" i="3"/>
  <c r="G8" i="3"/>
  <c r="G9" i="3"/>
  <c r="C9" i="3"/>
  <c r="C5" i="3"/>
  <c r="D12" i="5"/>
  <c r="C11" i="6"/>
  <c r="D11" i="6" s="1"/>
  <c r="E11" i="6" s="1"/>
  <c r="C5" i="6"/>
  <c r="C6" i="3"/>
  <c r="C7" i="3"/>
  <c r="C8" i="3"/>
  <c r="C4" i="3"/>
  <c r="G3" i="8"/>
  <c r="G4" i="8"/>
  <c r="G5" i="8"/>
  <c r="G6" i="8"/>
  <c r="G7" i="8"/>
  <c r="G8" i="8"/>
  <c r="G9" i="8"/>
  <c r="G10" i="8"/>
  <c r="G2" i="8"/>
  <c r="F3" i="8"/>
  <c r="F4" i="8"/>
  <c r="F5" i="8"/>
  <c r="F6" i="8"/>
  <c r="F7" i="8"/>
  <c r="F8" i="8"/>
  <c r="F9" i="8"/>
  <c r="F10" i="8"/>
  <c r="F2" i="8"/>
  <c r="D6" i="7"/>
  <c r="V56" i="4"/>
  <c r="V55" i="4"/>
  <c r="W55" i="4" s="1"/>
  <c r="V53" i="4"/>
  <c r="W53" i="4" s="1"/>
  <c r="V50" i="4"/>
  <c r="W50" i="4" s="1"/>
  <c r="V51" i="4"/>
  <c r="S53" i="4"/>
  <c r="D42" i="7"/>
  <c r="R56" i="4"/>
  <c r="R55" i="4"/>
  <c r="R52" i="4"/>
  <c r="R48" i="4"/>
  <c r="R49" i="4"/>
  <c r="R47" i="4"/>
  <c r="R44" i="4"/>
  <c r="R45" i="4"/>
  <c r="R46" i="4"/>
  <c r="R50" i="4"/>
  <c r="R51" i="4"/>
  <c r="R53" i="4"/>
  <c r="R54" i="4"/>
  <c r="D13" i="7"/>
  <c r="D15" i="7"/>
  <c r="D19" i="7"/>
  <c r="D59" i="7"/>
  <c r="D62" i="7"/>
  <c r="D60" i="7"/>
  <c r="D61" i="7"/>
  <c r="D57" i="7"/>
  <c r="D63" i="7"/>
  <c r="D64" i="7"/>
  <c r="D47" i="7"/>
  <c r="D49" i="7"/>
  <c r="D48" i="7"/>
  <c r="D50" i="7"/>
  <c r="D51" i="7"/>
  <c r="D53" i="7"/>
  <c r="D52" i="7"/>
  <c r="D46" i="7"/>
  <c r="D32" i="7"/>
  <c r="D33" i="7"/>
  <c r="D35" i="7"/>
  <c r="D34" i="7"/>
  <c r="D29" i="7"/>
  <c r="D30" i="7"/>
  <c r="D31" i="7"/>
  <c r="D28" i="7"/>
  <c r="D26" i="7"/>
  <c r="D27" i="7"/>
  <c r="D23" i="7"/>
  <c r="D25" i="7"/>
  <c r="D24" i="7"/>
  <c r="D17" i="7"/>
  <c r="D18" i="7"/>
  <c r="D16" i="7"/>
  <c r="D14" i="7"/>
  <c r="D11" i="7"/>
  <c r="D9" i="7"/>
  <c r="D12" i="7"/>
  <c r="D8" i="7"/>
  <c r="D7" i="7"/>
  <c r="D10" i="7"/>
  <c r="D55" i="7"/>
  <c r="D44" i="7"/>
  <c r="D45" i="7"/>
  <c r="D43" i="7"/>
  <c r="D36" i="7"/>
  <c r="D39" i="7"/>
  <c r="D40" i="7"/>
  <c r="D37" i="7"/>
  <c r="D41" i="7"/>
  <c r="D38" i="7"/>
  <c r="D22" i="7"/>
  <c r="D21" i="7"/>
  <c r="D20" i="7"/>
  <c r="D58" i="7"/>
  <c r="D70" i="7"/>
  <c r="D69" i="7"/>
  <c r="D68" i="7"/>
  <c r="D67" i="7"/>
  <c r="D66" i="7"/>
  <c r="D65" i="7"/>
  <c r="W47" i="4"/>
  <c r="W48" i="4"/>
  <c r="W49" i="4"/>
  <c r="W51" i="4"/>
  <c r="W52" i="4"/>
  <c r="W54" i="4"/>
  <c r="W56" i="4"/>
  <c r="E20" i="4"/>
  <c r="Q20" i="4" s="1"/>
  <c r="T20" i="4"/>
  <c r="Q19" i="4"/>
  <c r="T19" i="4"/>
  <c r="E19" i="4"/>
  <c r="V47" i="4"/>
  <c r="V52" i="4"/>
  <c r="V54" i="4"/>
  <c r="U47" i="4"/>
  <c r="U48" i="4"/>
  <c r="U49" i="4"/>
  <c r="U50" i="4"/>
  <c r="U51" i="4"/>
  <c r="U52" i="4"/>
  <c r="U53" i="4"/>
  <c r="U54" i="4"/>
  <c r="U55" i="4"/>
  <c r="U56" i="4"/>
  <c r="S47" i="4"/>
  <c r="S50" i="4"/>
  <c r="S51" i="4"/>
  <c r="S52" i="4"/>
  <c r="S54" i="4"/>
  <c r="S55" i="4"/>
  <c r="S56" i="4"/>
  <c r="Q50" i="4"/>
  <c r="Q51" i="4"/>
  <c r="Q52" i="4"/>
  <c r="Q53" i="4"/>
  <c r="Q54" i="4"/>
  <c r="Q55" i="4"/>
  <c r="Q56" i="4"/>
  <c r="B48" i="4"/>
  <c r="Q48" i="4" s="1"/>
  <c r="B49" i="4"/>
  <c r="B50" i="4"/>
  <c r="B51" i="4"/>
  <c r="B52" i="4"/>
  <c r="B53" i="4"/>
  <c r="B54" i="4"/>
  <c r="B55" i="4"/>
  <c r="B56" i="4"/>
  <c r="O47" i="4"/>
  <c r="O48" i="4"/>
  <c r="O49" i="4"/>
  <c r="O50" i="4"/>
  <c r="O51" i="4"/>
  <c r="O52" i="4"/>
  <c r="O53" i="4"/>
  <c r="O54" i="4"/>
  <c r="O55" i="4"/>
  <c r="O56" i="4"/>
  <c r="N47" i="4"/>
  <c r="N48" i="4"/>
  <c r="N49" i="4"/>
  <c r="N50" i="4"/>
  <c r="N51" i="4"/>
  <c r="N52" i="4"/>
  <c r="N53" i="4"/>
  <c r="N54" i="4"/>
  <c r="N55" i="4"/>
  <c r="N56" i="4"/>
  <c r="M47" i="4"/>
  <c r="M48" i="4"/>
  <c r="M49" i="4"/>
  <c r="M50" i="4"/>
  <c r="M51" i="4"/>
  <c r="M52" i="4"/>
  <c r="M53" i="4"/>
  <c r="M54" i="4"/>
  <c r="M55" i="4"/>
  <c r="M56" i="4"/>
  <c r="L48" i="4"/>
  <c r="L49" i="4"/>
  <c r="L50" i="4"/>
  <c r="L51" i="4"/>
  <c r="L52" i="4"/>
  <c r="L53" i="4"/>
  <c r="L54" i="4"/>
  <c r="L55" i="4"/>
  <c r="L56" i="4"/>
  <c r="K48" i="4"/>
  <c r="K49" i="4"/>
  <c r="K50" i="4"/>
  <c r="K51" i="4"/>
  <c r="K52" i="4"/>
  <c r="K53" i="4"/>
  <c r="K54" i="4"/>
  <c r="K55" i="4"/>
  <c r="K56" i="4"/>
  <c r="J48" i="4"/>
  <c r="J49" i="4"/>
  <c r="J50" i="4"/>
  <c r="J51" i="4"/>
  <c r="J52" i="4"/>
  <c r="J53" i="4"/>
  <c r="J54" i="4"/>
  <c r="J55" i="4"/>
  <c r="J56" i="4"/>
  <c r="I48" i="4"/>
  <c r="I49" i="4"/>
  <c r="I50" i="4"/>
  <c r="I51" i="4"/>
  <c r="I52" i="4"/>
  <c r="I53" i="4"/>
  <c r="I54" i="4"/>
  <c r="I55" i="4"/>
  <c r="I56" i="4"/>
  <c r="H48" i="4"/>
  <c r="H49" i="4"/>
  <c r="H50" i="4"/>
  <c r="H51" i="4"/>
  <c r="H52" i="4"/>
  <c r="H53" i="4"/>
  <c r="H54" i="4"/>
  <c r="H55" i="4"/>
  <c r="H56" i="4"/>
  <c r="G48" i="4"/>
  <c r="G49" i="4"/>
  <c r="G50" i="4"/>
  <c r="G51" i="4"/>
  <c r="G52" i="4"/>
  <c r="G53" i="4"/>
  <c r="G54" i="4"/>
  <c r="G55" i="4"/>
  <c r="G56" i="4"/>
  <c r="F48" i="4"/>
  <c r="F49" i="4"/>
  <c r="F50" i="4"/>
  <c r="F51" i="4"/>
  <c r="F52" i="4"/>
  <c r="F53" i="4"/>
  <c r="F54" i="4"/>
  <c r="F55" i="4"/>
  <c r="F56" i="4"/>
  <c r="E47" i="4"/>
  <c r="E48" i="4"/>
  <c r="E49" i="4"/>
  <c r="Q49" i="4" s="1"/>
  <c r="E50" i="4"/>
  <c r="E51" i="4"/>
  <c r="E52" i="4"/>
  <c r="E53" i="4"/>
  <c r="E54" i="4"/>
  <c r="E55" i="4"/>
  <c r="E56" i="4"/>
  <c r="D47" i="4"/>
  <c r="D48" i="4"/>
  <c r="D49" i="4"/>
  <c r="D50" i="4"/>
  <c r="D51" i="4"/>
  <c r="D52" i="4"/>
  <c r="D53" i="4"/>
  <c r="D54" i="4"/>
  <c r="D55" i="4"/>
  <c r="D56" i="4"/>
  <c r="C51" i="4"/>
  <c r="C52" i="4"/>
  <c r="C53" i="4"/>
  <c r="C54" i="4"/>
  <c r="C55" i="4"/>
  <c r="C56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32" i="4"/>
  <c r="T21" i="4"/>
  <c r="T22" i="4"/>
  <c r="T23" i="4"/>
  <c r="T24" i="4"/>
  <c r="T25" i="4"/>
  <c r="T26" i="4"/>
  <c r="T27" i="4"/>
  <c r="Q27" i="4"/>
  <c r="Q26" i="4"/>
  <c r="Q25" i="4"/>
  <c r="Q24" i="4"/>
  <c r="Q23" i="4"/>
  <c r="Q22" i="4"/>
  <c r="Q21" i="4"/>
  <c r="U39" i="4"/>
  <c r="U32" i="4"/>
  <c r="D10" i="5"/>
  <c r="D4" i="7"/>
  <c r="D3" i="7"/>
  <c r="D2" i="7"/>
  <c r="L33" i="4"/>
  <c r="M33" i="4"/>
  <c r="N33" i="4"/>
  <c r="O33" i="4"/>
  <c r="L34" i="4"/>
  <c r="M34" i="4"/>
  <c r="N34" i="4"/>
  <c r="O34" i="4"/>
  <c r="L35" i="4"/>
  <c r="M35" i="4"/>
  <c r="N35" i="4"/>
  <c r="O35" i="4"/>
  <c r="L36" i="4"/>
  <c r="M36" i="4"/>
  <c r="N36" i="4"/>
  <c r="O36" i="4"/>
  <c r="L37" i="4"/>
  <c r="M37" i="4"/>
  <c r="N37" i="4"/>
  <c r="O37" i="4"/>
  <c r="L38" i="4"/>
  <c r="M38" i="4"/>
  <c r="N38" i="4"/>
  <c r="O38" i="4"/>
  <c r="L39" i="4"/>
  <c r="M39" i="4"/>
  <c r="N39" i="4"/>
  <c r="O39" i="4"/>
  <c r="L40" i="4"/>
  <c r="M40" i="4"/>
  <c r="N40" i="4"/>
  <c r="O40" i="4"/>
  <c r="L41" i="4"/>
  <c r="M41" i="4"/>
  <c r="N41" i="4"/>
  <c r="O41" i="4"/>
  <c r="L42" i="4"/>
  <c r="M42" i="4"/>
  <c r="N42" i="4"/>
  <c r="O42" i="4"/>
  <c r="L43" i="4"/>
  <c r="M43" i="4"/>
  <c r="N43" i="4"/>
  <c r="O43" i="4"/>
  <c r="L44" i="4"/>
  <c r="M44" i="4"/>
  <c r="N44" i="4"/>
  <c r="O44" i="4"/>
  <c r="L45" i="4"/>
  <c r="M45" i="4"/>
  <c r="N45" i="4"/>
  <c r="O45" i="4"/>
  <c r="L46" i="4"/>
  <c r="M46" i="4"/>
  <c r="N46" i="4"/>
  <c r="O46" i="4"/>
  <c r="L47" i="4"/>
  <c r="O32" i="4"/>
  <c r="N32" i="4"/>
  <c r="M32" i="4"/>
  <c r="L32" i="4"/>
  <c r="G20" i="1"/>
  <c r="J34" i="4"/>
  <c r="J35" i="4"/>
  <c r="K35" i="4"/>
  <c r="H36" i="4"/>
  <c r="I36" i="4"/>
  <c r="J36" i="4"/>
  <c r="K36" i="4"/>
  <c r="J38" i="4"/>
  <c r="J39" i="4"/>
  <c r="K39" i="4"/>
  <c r="H40" i="4"/>
  <c r="I40" i="4"/>
  <c r="J40" i="4"/>
  <c r="K40" i="4"/>
  <c r="J42" i="4"/>
  <c r="J43" i="4"/>
  <c r="K43" i="4"/>
  <c r="H44" i="4"/>
  <c r="I44" i="4"/>
  <c r="J44" i="4"/>
  <c r="K44" i="4"/>
  <c r="J46" i="4"/>
  <c r="J47" i="4"/>
  <c r="K47" i="4"/>
  <c r="K32" i="4"/>
  <c r="J32" i="4"/>
  <c r="I32" i="4"/>
  <c r="H32" i="4"/>
  <c r="G38" i="4"/>
  <c r="G39" i="4"/>
  <c r="G41" i="4"/>
  <c r="G42" i="4"/>
  <c r="G43" i="4"/>
  <c r="G44" i="4"/>
  <c r="G45" i="4"/>
  <c r="G46" i="4"/>
  <c r="G47" i="4"/>
  <c r="G32" i="4"/>
  <c r="F46" i="4"/>
  <c r="F47" i="4"/>
  <c r="F32" i="4"/>
  <c r="E32" i="4"/>
  <c r="D36" i="4"/>
  <c r="D37" i="4"/>
  <c r="D38" i="4"/>
  <c r="D39" i="4"/>
  <c r="D40" i="4"/>
  <c r="D41" i="4"/>
  <c r="D42" i="4"/>
  <c r="D43" i="4"/>
  <c r="D44" i="4"/>
  <c r="D45" i="4"/>
  <c r="D46" i="4"/>
  <c r="D32" i="4"/>
  <c r="U46" i="4"/>
  <c r="U45" i="4"/>
  <c r="U44" i="4"/>
  <c r="U43" i="4"/>
  <c r="U42" i="4"/>
  <c r="U41" i="4"/>
  <c r="U40" i="4"/>
  <c r="U38" i="4"/>
  <c r="U37" i="4"/>
  <c r="U36" i="4"/>
  <c r="U35" i="4"/>
  <c r="U34" i="4"/>
  <c r="U33" i="4"/>
  <c r="G18" i="1"/>
  <c r="T18" i="4"/>
  <c r="T17" i="4"/>
  <c r="T16" i="4"/>
  <c r="Q4" i="4"/>
  <c r="Q5" i="4"/>
  <c r="Q6" i="4"/>
  <c r="Q7" i="4"/>
  <c r="Q9" i="4"/>
  <c r="Q10" i="4"/>
  <c r="Q11" i="4"/>
  <c r="Q12" i="4"/>
  <c r="Q13" i="4"/>
  <c r="Q14" i="4"/>
  <c r="Q15" i="4"/>
  <c r="Q16" i="4"/>
  <c r="Q17" i="4"/>
  <c r="Q18" i="4"/>
  <c r="Q3" i="4"/>
  <c r="G16" i="1"/>
  <c r="G15" i="1"/>
  <c r="G7" i="1"/>
  <c r="G4" i="1"/>
  <c r="G5" i="1"/>
  <c r="D33" i="4" s="1"/>
  <c r="G6" i="1"/>
  <c r="G8" i="1"/>
  <c r="G33" i="4" s="1"/>
  <c r="G9" i="1"/>
  <c r="G11" i="1"/>
  <c r="H33" i="4" s="1"/>
  <c r="G12" i="1"/>
  <c r="G13" i="1"/>
  <c r="J33" i="4" s="1"/>
  <c r="G14" i="1"/>
  <c r="K37" i="4" s="1"/>
  <c r="G17" i="1"/>
  <c r="G19" i="1"/>
  <c r="I34" i="4" s="1"/>
  <c r="G3" i="1"/>
  <c r="F33" i="4" s="1"/>
  <c r="G2" i="1"/>
  <c r="E33" i="4" s="1"/>
  <c r="T4" i="4"/>
  <c r="T5" i="4"/>
  <c r="T6" i="4"/>
  <c r="T7" i="4"/>
  <c r="T8" i="4"/>
  <c r="T9" i="4"/>
  <c r="T10" i="4"/>
  <c r="T11" i="4"/>
  <c r="T12" i="4"/>
  <c r="T13" i="4"/>
  <c r="T14" i="4"/>
  <c r="T15" i="4"/>
  <c r="T3" i="4"/>
  <c r="D5" i="5"/>
  <c r="D4" i="5"/>
  <c r="D3" i="5"/>
  <c r="D5" i="6" s="1"/>
  <c r="E5" i="6" s="1"/>
  <c r="D6" i="5"/>
  <c r="D7" i="5"/>
  <c r="D2" i="5"/>
  <c r="D9" i="5"/>
  <c r="D8" i="5"/>
  <c r="C9" i="2"/>
  <c r="E8" i="4"/>
  <c r="Q8" i="4" s="1"/>
  <c r="D3" i="2"/>
  <c r="D4" i="2"/>
  <c r="D5" i="2"/>
  <c r="D6" i="2"/>
  <c r="D7" i="2"/>
  <c r="D8" i="2"/>
  <c r="D2" i="2"/>
  <c r="G11" i="3" l="1"/>
  <c r="C10" i="6" s="1"/>
  <c r="D10" i="6" s="1"/>
  <c r="E10" i="6" s="1"/>
  <c r="E12" i="6" s="1"/>
  <c r="C11" i="3"/>
  <c r="V49" i="4"/>
  <c r="S49" i="4"/>
  <c r="S48" i="4"/>
  <c r="V48" i="4"/>
  <c r="Q32" i="4"/>
  <c r="V32" i="4" s="1"/>
  <c r="W32" i="4" s="1"/>
  <c r="F45" i="4"/>
  <c r="F42" i="4"/>
  <c r="I47" i="4"/>
  <c r="I43" i="4"/>
  <c r="I39" i="4"/>
  <c r="I35" i="4"/>
  <c r="E41" i="4"/>
  <c r="F41" i="4"/>
  <c r="H47" i="4"/>
  <c r="H43" i="4"/>
  <c r="H39" i="4"/>
  <c r="H35" i="4"/>
  <c r="E40" i="4"/>
  <c r="F40" i="4"/>
  <c r="G40" i="4"/>
  <c r="K46" i="4"/>
  <c r="K42" i="4"/>
  <c r="K38" i="4"/>
  <c r="K34" i="4"/>
  <c r="E44" i="4"/>
  <c r="F43" i="4"/>
  <c r="E42" i="4"/>
  <c r="F39" i="4"/>
  <c r="F38" i="4"/>
  <c r="I42" i="4"/>
  <c r="G37" i="4"/>
  <c r="H38" i="4"/>
  <c r="E36" i="4"/>
  <c r="G36" i="4"/>
  <c r="K41" i="4"/>
  <c r="D35" i="4"/>
  <c r="E35" i="4"/>
  <c r="F35" i="4"/>
  <c r="G35" i="4"/>
  <c r="J45" i="4"/>
  <c r="J41" i="4"/>
  <c r="J37" i="4"/>
  <c r="E45" i="4"/>
  <c r="E43" i="4"/>
  <c r="E39" i="4"/>
  <c r="E38" i="4"/>
  <c r="I46" i="4"/>
  <c r="I38" i="4"/>
  <c r="H42" i="4"/>
  <c r="F36" i="4"/>
  <c r="K45" i="4"/>
  <c r="K33" i="4"/>
  <c r="D34" i="4"/>
  <c r="E34" i="4"/>
  <c r="F34" i="4"/>
  <c r="G34" i="4"/>
  <c r="I45" i="4"/>
  <c r="I41" i="4"/>
  <c r="I37" i="4"/>
  <c r="I33" i="4"/>
  <c r="E46" i="4"/>
  <c r="F44" i="4"/>
  <c r="E37" i="4"/>
  <c r="F37" i="4"/>
  <c r="H46" i="4"/>
  <c r="H34" i="4"/>
  <c r="H45" i="4"/>
  <c r="H41" i="4"/>
  <c r="H37" i="4"/>
  <c r="D12" i="6" l="1"/>
  <c r="C12" i="6"/>
  <c r="C4" i="6"/>
  <c r="D4" i="6" s="1"/>
  <c r="E4" i="6" s="1"/>
  <c r="E6" i="6" s="1"/>
  <c r="F14" i="3"/>
  <c r="Q39" i="4"/>
  <c r="R39" i="4" s="1"/>
  <c r="S39" i="4" s="1"/>
  <c r="Q33" i="4"/>
  <c r="S33" i="4" s="1"/>
  <c r="Q47" i="4"/>
  <c r="R32" i="4"/>
  <c r="S32" i="4"/>
  <c r="D56" i="7" s="1"/>
  <c r="Q36" i="4"/>
  <c r="V36" i="4" s="1"/>
  <c r="W36" i="4" s="1"/>
  <c r="Q42" i="4"/>
  <c r="R42" i="4" s="1"/>
  <c r="S42" i="4" s="1"/>
  <c r="Q38" i="4"/>
  <c r="R38" i="4" s="1"/>
  <c r="Q37" i="4"/>
  <c r="R37" i="4" s="1"/>
  <c r="Q35" i="4"/>
  <c r="V35" i="4" s="1"/>
  <c r="W35" i="4" s="1"/>
  <c r="Q43" i="4"/>
  <c r="R43" i="4" s="1"/>
  <c r="S43" i="4" s="1"/>
  <c r="Q41" i="4"/>
  <c r="R41" i="4" s="1"/>
  <c r="V41" i="4" s="1"/>
  <c r="W41" i="4" s="1"/>
  <c r="Q34" i="4"/>
  <c r="Q44" i="4"/>
  <c r="Q46" i="4"/>
  <c r="Q40" i="4"/>
  <c r="R40" i="4" s="1"/>
  <c r="Q45" i="4"/>
  <c r="C6" i="6" l="1"/>
  <c r="D6" i="6"/>
  <c r="S37" i="4"/>
  <c r="V37" i="4"/>
  <c r="W37" i="4" s="1"/>
  <c r="V39" i="4"/>
  <c r="W39" i="4" s="1"/>
  <c r="R33" i="4"/>
  <c r="V33" i="4"/>
  <c r="W33" i="4" s="1"/>
  <c r="S41" i="4"/>
  <c r="V42" i="4"/>
  <c r="W42" i="4" s="1"/>
  <c r="S38" i="4"/>
  <c r="V38" i="4"/>
  <c r="W38" i="4" s="1"/>
  <c r="R36" i="4"/>
  <c r="S36" i="4"/>
  <c r="R35" i="4"/>
  <c r="S35" i="4"/>
  <c r="V43" i="4"/>
  <c r="W43" i="4" s="1"/>
  <c r="S40" i="4"/>
  <c r="V40" i="4"/>
  <c r="W40" i="4" s="1"/>
  <c r="V46" i="4"/>
  <c r="W46" i="4" s="1"/>
  <c r="S46" i="4"/>
  <c r="V44" i="4"/>
  <c r="W44" i="4" s="1"/>
  <c r="S44" i="4"/>
  <c r="S34" i="4"/>
  <c r="V34" i="4"/>
  <c r="W34" i="4" s="1"/>
  <c r="R34" i="4"/>
  <c r="V45" i="4"/>
  <c r="W45" i="4" s="1"/>
  <c r="S45" i="4"/>
</calcChain>
</file>

<file path=xl/sharedStrings.xml><?xml version="1.0" encoding="utf-8"?>
<sst xmlns="http://schemas.openxmlformats.org/spreadsheetml/2006/main" count="398" uniqueCount="181">
  <si>
    <t>Cenário Mês Cheio</t>
  </si>
  <si>
    <t>#</t>
  </si>
  <si>
    <t>Mês</t>
  </si>
  <si>
    <t>Semana</t>
  </si>
  <si>
    <t>Dia</t>
  </si>
  <si>
    <t>Funcionários</t>
  </si>
  <si>
    <t>Operação</t>
  </si>
  <si>
    <t>TOTAL</t>
  </si>
  <si>
    <t>Cenário Final de Semana</t>
  </si>
  <si>
    <t>Funcionarios</t>
  </si>
  <si>
    <t>v/dia</t>
  </si>
  <si>
    <t>valor total</t>
  </si>
  <si>
    <t>Monique</t>
  </si>
  <si>
    <t>Jeniffer</t>
  </si>
  <si>
    <t>Motoboy 1</t>
  </si>
  <si>
    <t>Motoboy 2</t>
  </si>
  <si>
    <t>Ricardo</t>
  </si>
  <si>
    <t>Layla</t>
  </si>
  <si>
    <t>Ana</t>
  </si>
  <si>
    <t>Total</t>
  </si>
  <si>
    <t>DIFERENÇA</t>
  </si>
  <si>
    <t>Valor</t>
  </si>
  <si>
    <t>Obs</t>
  </si>
  <si>
    <t>Mensal</t>
  </si>
  <si>
    <t>agua</t>
  </si>
  <si>
    <t>energia</t>
  </si>
  <si>
    <t>gas</t>
  </si>
  <si>
    <t>40 dias</t>
  </si>
  <si>
    <t>internet</t>
  </si>
  <si>
    <t>aluguel</t>
  </si>
  <si>
    <t>Saco lixo</t>
  </si>
  <si>
    <t>perfex</t>
  </si>
  <si>
    <t>10 por mês</t>
  </si>
  <si>
    <t>Sacola</t>
  </si>
  <si>
    <t>1,5 mês</t>
  </si>
  <si>
    <t>Nome</t>
  </si>
  <si>
    <t>qtd</t>
  </si>
  <si>
    <t>valor</t>
  </si>
  <si>
    <t>EMBALAGEM COMBINADO 01</t>
  </si>
  <si>
    <t>EMBALAGEM COMBINADO 02</t>
  </si>
  <si>
    <t>EMBALAGEM COMBINADO 03</t>
  </si>
  <si>
    <t>EMBALAGEM SUPER BIG BOAT Grande</t>
  </si>
  <si>
    <t>EMBALAGEM SUPER BIG BOAT Media</t>
  </si>
  <si>
    <t>EMBALAGEM TEMAKI 21X10</t>
  </si>
  <si>
    <t>EMBALAGEM TEMAKI BIOPLAS</t>
  </si>
  <si>
    <t>EMBALAGEM RETANGULAR - SHIMEJI</t>
  </si>
  <si>
    <t>Insumos</t>
  </si>
  <si>
    <t>quantidade</t>
  </si>
  <si>
    <t>Unidade</t>
  </si>
  <si>
    <t>Conversão para gramas</t>
  </si>
  <si>
    <t>Valor da grama</t>
  </si>
  <si>
    <t>Arroz</t>
  </si>
  <si>
    <t>Kilograma</t>
  </si>
  <si>
    <t>salmão</t>
  </si>
  <si>
    <t>alga</t>
  </si>
  <si>
    <t>Grama</t>
  </si>
  <si>
    <t>cebolinha</t>
  </si>
  <si>
    <t>Gramas</t>
  </si>
  <si>
    <t>creeamchese</t>
  </si>
  <si>
    <t>1500G</t>
  </si>
  <si>
    <t>pepino</t>
  </si>
  <si>
    <t>gergelim</t>
  </si>
  <si>
    <t>1 kl</t>
  </si>
  <si>
    <t>Kani</t>
  </si>
  <si>
    <t>200 g</t>
  </si>
  <si>
    <t>Skin</t>
  </si>
  <si>
    <t>Pele de salmão</t>
  </si>
  <si>
    <t>Couve</t>
  </si>
  <si>
    <t>500 g</t>
  </si>
  <si>
    <t>Doritos</t>
  </si>
  <si>
    <t>300g</t>
  </si>
  <si>
    <t>Shimeji</t>
  </si>
  <si>
    <t>Manteiga</t>
  </si>
  <si>
    <t>Leite</t>
  </si>
  <si>
    <t>litro</t>
  </si>
  <si>
    <t>Ovo</t>
  </si>
  <si>
    <t>unidade</t>
  </si>
  <si>
    <t>Farinha de trigo</t>
  </si>
  <si>
    <t>Farinha panco</t>
  </si>
  <si>
    <t>Geleia de pimenta</t>
  </si>
  <si>
    <t>Shoyo</t>
  </si>
  <si>
    <t>litros</t>
  </si>
  <si>
    <t>Alface</t>
  </si>
  <si>
    <t>2 dias</t>
  </si>
  <si>
    <t>Cenoura</t>
  </si>
  <si>
    <t>4 Dias</t>
  </si>
  <si>
    <t>Manga</t>
  </si>
  <si>
    <t>Oleo</t>
  </si>
  <si>
    <t>1 dia</t>
  </si>
  <si>
    <t>Açucar</t>
  </si>
  <si>
    <t>Por semana</t>
  </si>
  <si>
    <t>Sal</t>
  </si>
  <si>
    <t xml:space="preserve"> </t>
  </si>
  <si>
    <t>PESO EM GRAMAS</t>
  </si>
  <si>
    <t>Produtos</t>
  </si>
  <si>
    <t>Alga</t>
  </si>
  <si>
    <t>Creenchesse</t>
  </si>
  <si>
    <t>Cebolinha</t>
  </si>
  <si>
    <t>arroz</t>
  </si>
  <si>
    <t>Salmão</t>
  </si>
  <si>
    <t>Gergelin</t>
  </si>
  <si>
    <t>Geleia de Pimenta</t>
  </si>
  <si>
    <t>Shoyu</t>
  </si>
  <si>
    <t>farinha</t>
  </si>
  <si>
    <t>Completo Peso</t>
  </si>
  <si>
    <t>Soma</t>
  </si>
  <si>
    <t>Valor venda</t>
  </si>
  <si>
    <t>Porção</t>
  </si>
  <si>
    <t>Valor unidade Vendida</t>
  </si>
  <si>
    <t>Temaki Filadelfia</t>
  </si>
  <si>
    <t>Temaki Grelhado</t>
  </si>
  <si>
    <t>Temaki salmão simples</t>
  </si>
  <si>
    <t>Uramaki Salmão Simples</t>
  </si>
  <si>
    <t>Uramaki Filadelfia</t>
  </si>
  <si>
    <t>Uramaki Salmão Grelhado</t>
  </si>
  <si>
    <t>Hossomaki</t>
  </si>
  <si>
    <t>Niguiri Salmão</t>
  </si>
  <si>
    <t>Joe Salmão</t>
  </si>
  <si>
    <t>Joe Geleia de Pimenta</t>
  </si>
  <si>
    <t>Joe Crisp</t>
  </si>
  <si>
    <t>Sashimi</t>
  </si>
  <si>
    <t>Temaki hot Filadelfia</t>
  </si>
  <si>
    <t>Temaki hot Grelhado</t>
  </si>
  <si>
    <t>Hotholl</t>
  </si>
  <si>
    <t>Hotholl Grelhado</t>
  </si>
  <si>
    <t>Hotholl Premium</t>
  </si>
  <si>
    <t>Joe Pepino (mesmo salmão)</t>
  </si>
  <si>
    <t>Niguiri Skin (mesmo que salmão)</t>
  </si>
  <si>
    <t>Uramaki Premium (mesmo que filadelfia)</t>
  </si>
  <si>
    <t>Niguiri Salmão Premium (mesmo que salmão com duas gramas de salmão a mais</t>
  </si>
  <si>
    <t>Temaki California (temaki de salmão simples)</t>
  </si>
  <si>
    <t>Uramaki california (uramaki salmão simples)</t>
  </si>
  <si>
    <t>Uramaki Skin (uramaki salmão simples)</t>
  </si>
  <si>
    <t>Valor em Gramas em GRAMAS</t>
  </si>
  <si>
    <t>Custo Produto</t>
  </si>
  <si>
    <t>Custo Porção</t>
  </si>
  <si>
    <t>Custo Unidade</t>
  </si>
  <si>
    <t>Venda Porção</t>
  </si>
  <si>
    <t>Venda Unidade</t>
  </si>
  <si>
    <t>Lucro por porção</t>
  </si>
  <si>
    <t>Lucro em Percentual</t>
  </si>
  <si>
    <t>Hot Holl</t>
  </si>
  <si>
    <t>Hot Holl Grelhado</t>
  </si>
  <si>
    <t>Hot Holl Premiun</t>
  </si>
  <si>
    <t>Combos</t>
  </si>
  <si>
    <t>Peças</t>
  </si>
  <si>
    <t>Quantidade</t>
  </si>
  <si>
    <t>Valor custo</t>
  </si>
  <si>
    <t>Combo 1</t>
  </si>
  <si>
    <t>Combo 2</t>
  </si>
  <si>
    <t>Combo 3</t>
  </si>
  <si>
    <t>Hossomaki Pepino</t>
  </si>
  <si>
    <t>Barca Akatsuky</t>
  </si>
  <si>
    <t>Hossomaki Salmão</t>
  </si>
  <si>
    <t>Barca casal</t>
  </si>
  <si>
    <t>Barca Premium</t>
  </si>
  <si>
    <t>Barca Salmão</t>
  </si>
  <si>
    <t>Combo 4</t>
  </si>
  <si>
    <t>Hossomaki Skin (salmão)</t>
  </si>
  <si>
    <t>Hot Premium</t>
  </si>
  <si>
    <t>Combo 5</t>
  </si>
  <si>
    <t>Joe Pepino</t>
  </si>
  <si>
    <t>Joe Salmão Crispy</t>
  </si>
  <si>
    <t>Niguiri Salmão Premium</t>
  </si>
  <si>
    <t>Niguiri Skin</t>
  </si>
  <si>
    <t>Sashimi Massaricado</t>
  </si>
  <si>
    <t>Sashimi Salmão</t>
  </si>
  <si>
    <t>Sunomono</t>
  </si>
  <si>
    <t>Temaki California</t>
  </si>
  <si>
    <t>Temaki Salmão Simples</t>
  </si>
  <si>
    <t>Uramaki California</t>
  </si>
  <si>
    <t>Uramaki Grelhado</t>
  </si>
  <si>
    <t>Uramaki Premium</t>
  </si>
  <si>
    <t>Uramaki Skin</t>
  </si>
  <si>
    <t>Rótulos de Linha</t>
  </si>
  <si>
    <t>Soma de Valor custo</t>
  </si>
  <si>
    <t>Custo</t>
  </si>
  <si>
    <t>Preço de Venda</t>
  </si>
  <si>
    <t>Lucro</t>
  </si>
  <si>
    <t>(vazio)</t>
  </si>
  <si>
    <t>Total 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</si>
</sst>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-&quot;R$&quot;\ * #,##0.000_-;\-&quot;R$&quot;\ * #,##0.000_-;_-&quot;R$&quot;\ * &quot;-&quot;??_-;_-@_-"/>
  </numFmts>
  <fonts count="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6">
    <xf numFmtId="0" fontId="0" fillId="0" borderId="0" xfId="0"/>
    <xf numFmtId="44" fontId="0" fillId="0" borderId="0" xfId="1" applyFont="1"/>
    <xf numFmtId="4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/>
    <xf numFmtId="164" fontId="0" fillId="0" borderId="0" xfId="0" applyNumberFormat="1"/>
    <xf numFmtId="2" fontId="0" fillId="0" borderId="0" xfId="0" applyNumberFormat="1"/>
    <xf numFmtId="1" fontId="0" fillId="0" borderId="0" xfId="0" applyNumberFormat="1"/>
    <xf numFmtId="0" fontId="2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0" fillId="2" borderId="0" xfId="0" applyFill="1"/>
    <xf numFmtId="44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0" fillId="0" borderId="5" xfId="0" applyBorder="1"/>
    <xf numFmtId="44" fontId="0" fillId="0" borderId="6" xfId="0" applyNumberFormat="1" applyBorder="1"/>
    <xf numFmtId="0" fontId="2" fillId="0" borderId="7" xfId="0" applyFont="1" applyBorder="1"/>
    <xf numFmtId="44" fontId="2" fillId="0" borderId="8" xfId="0" applyNumberFormat="1" applyFont="1" applyBorder="1"/>
    <xf numFmtId="44" fontId="2" fillId="0" borderId="9" xfId="0" applyNumberFormat="1" applyFont="1" applyBorder="1"/>
    <xf numFmtId="0" fontId="2" fillId="4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wrapText="1"/>
    </xf>
    <xf numFmtId="44" fontId="0" fillId="5" borderId="1" xfId="0" applyNumberFormat="1" applyFill="1" applyBorder="1"/>
    <xf numFmtId="0" fontId="2" fillId="6" borderId="1" xfId="0" applyFont="1" applyFill="1" applyBorder="1" applyAlignment="1">
      <alignment horizontal="center" wrapText="1"/>
    </xf>
    <xf numFmtId="44" fontId="0" fillId="6" borderId="1" xfId="0" applyNumberFormat="1" applyFill="1" applyBorder="1"/>
    <xf numFmtId="0" fontId="2" fillId="7" borderId="1" xfId="0" applyFont="1" applyFill="1" applyBorder="1" applyAlignment="1">
      <alignment horizontal="center" wrapText="1"/>
    </xf>
    <xf numFmtId="44" fontId="0" fillId="7" borderId="1" xfId="0" applyNumberFormat="1" applyFill="1" applyBorder="1"/>
    <xf numFmtId="44" fontId="0" fillId="4" borderId="1" xfId="1" applyFont="1" applyFill="1" applyBorder="1" applyAlignment="1">
      <alignment horizontal="center"/>
    </xf>
    <xf numFmtId="44" fontId="0" fillId="3" borderId="1" xfId="1" applyFont="1" applyFill="1" applyBorder="1"/>
    <xf numFmtId="0" fontId="4" fillId="8" borderId="1" xfId="0" applyFont="1" applyFill="1" applyBorder="1" applyAlignment="1">
      <alignment horizontal="center" wrapText="1"/>
    </xf>
    <xf numFmtId="0" fontId="4" fillId="8" borderId="1" xfId="0" applyFont="1" applyFill="1" applyBorder="1" applyAlignment="1">
      <alignment horizontal="center" vertical="center" wrapText="1"/>
    </xf>
    <xf numFmtId="9" fontId="4" fillId="8" borderId="1" xfId="2" applyFont="1" applyFill="1" applyBorder="1" applyAlignment="1">
      <alignment horizontal="center" vertical="center"/>
    </xf>
    <xf numFmtId="44" fontId="4" fillId="8" borderId="1" xfId="0" applyNumberFormat="1" applyFont="1" applyFill="1" applyBorder="1"/>
    <xf numFmtId="0" fontId="0" fillId="9" borderId="0" xfId="0" applyFill="1"/>
    <xf numFmtId="0" fontId="0" fillId="9" borderId="0" xfId="0" applyFill="1" applyAlignment="1">
      <alignment horizontal="center"/>
    </xf>
    <xf numFmtId="2" fontId="0" fillId="9" borderId="0" xfId="0" applyNumberFormat="1" applyFill="1"/>
    <xf numFmtId="0" fontId="0" fillId="0" borderId="0" xfId="0" applyNumberFormat="1"/>
    <xf numFmtId="9" fontId="0" fillId="0" borderId="0" xfId="2" applyFont="1"/>
    <xf numFmtId="44" fontId="0" fillId="0" borderId="0" xfId="1" applyFont="1" applyBorder="1"/>
    <xf numFmtId="44" fontId="0" fillId="0" borderId="6" xfId="1" applyFont="1" applyBorder="1"/>
    <xf numFmtId="0" fontId="2" fillId="0" borderId="13" xfId="0" applyFont="1" applyBorder="1"/>
    <xf numFmtId="0" fontId="0" fillId="0" borderId="14" xfId="0" applyBorder="1"/>
    <xf numFmtId="44" fontId="0" fillId="0" borderId="15" xfId="0" applyNumberForma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0" fillId="0" borderId="13" xfId="0" applyBorder="1"/>
    <xf numFmtId="44" fontId="0" fillId="0" borderId="14" xfId="1" applyFont="1" applyBorder="1"/>
    <xf numFmtId="44" fontId="0" fillId="0" borderId="15" xfId="1" applyFont="1" applyBorder="1"/>
    <xf numFmtId="0" fontId="2" fillId="0" borderId="16" xfId="0" applyFont="1" applyBorder="1"/>
    <xf numFmtId="0" fontId="0" fillId="0" borderId="17" xfId="0" applyBorder="1"/>
    <xf numFmtId="44" fontId="0" fillId="0" borderId="18" xfId="0" applyNumberFormat="1" applyBorder="1"/>
    <xf numFmtId="0" fontId="0" fillId="0" borderId="16" xfId="0" applyBorder="1"/>
    <xf numFmtId="9" fontId="4" fillId="10" borderId="0" xfId="2" applyFont="1" applyFill="1"/>
    <xf numFmtId="0" fontId="2" fillId="0" borderId="0" xfId="0" applyFont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1">
    <dxf>
      <numFmt numFmtId="2" formatCode="0.00"/>
    </dxf>
  </dxfs>
  <tableStyles count="0" defaultTableStyle="TableStyleMedium2" defaultPivotStyle="PivotStyleLight16"/>
  <colors>
    <mruColors>
      <color rgb="FFEBF56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verton Nascimento" refreshedDate="46027.828717824072" createdVersion="8" refreshedVersion="8" minRefreshableVersion="3" recordCount="71" xr:uid="{A99C0749-089C-4C8D-9D74-1F2A64C2903F}">
  <cacheSource type="worksheet">
    <worksheetSource ref="A1:D1048576" sheet="Combos"/>
  </cacheSource>
  <cacheFields count="6">
    <cacheField name="Combos" numFmtId="0">
      <sharedItems containsBlank="1" count="10">
        <s v="Combo 1"/>
        <s v="Combo 2"/>
        <s v="Combo 3"/>
        <s v="Barca Akatsuky"/>
        <s v="Barca Salmão"/>
        <s v="Combo 4"/>
        <s v="Barca Premium"/>
        <s v="Barca casal"/>
        <s v="Combo 5"/>
        <m/>
      </sharedItems>
    </cacheField>
    <cacheField name="Peças" numFmtId="0">
      <sharedItems containsBlank="1"/>
    </cacheField>
    <cacheField name="Quantidade" numFmtId="0">
      <sharedItems containsString="0" containsBlank="1" containsNumber="1" containsInteger="1" minValue="1" maxValue="30"/>
    </cacheField>
    <cacheField name="Valor custo" numFmtId="0">
      <sharedItems containsString="0" containsBlank="1" containsNumber="1" minValue="0.11497777777777779" maxValue="18.899999999999999"/>
    </cacheField>
    <cacheField name="Valor venda" numFmtId="0">
      <sharedItems containsString="0" containsBlank="1" containsNumber="1" minValue="0" maxValue="107.69999999999999"/>
    </cacheField>
    <cacheField name="Valor Lucro" numFmtId="0">
      <sharedItems containsString="0" containsBlank="1" containsNumber="1" minValue="-3.25" maxValue="88.79999999999998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">
  <r>
    <x v="0"/>
    <s v="EMBALAGEM COMBINADO 01"/>
    <n v="1"/>
    <n v="1.59"/>
    <m/>
    <n v="-1.59"/>
  </r>
  <r>
    <x v="1"/>
    <s v="EMBALAGEM COMBINADO 02"/>
    <n v="1"/>
    <n v="1.99"/>
    <m/>
    <n v="-1.99"/>
  </r>
  <r>
    <x v="2"/>
    <s v="EMBALAGEM COMBINADO 03"/>
    <n v="1"/>
    <n v="3.25"/>
    <m/>
    <n v="-3.25"/>
  </r>
  <r>
    <x v="2"/>
    <s v="Hossomaki Pepino"/>
    <n v="4"/>
    <m/>
    <n v="0"/>
    <n v="0"/>
  </r>
  <r>
    <x v="1"/>
    <s v="Hossomaki Salmão"/>
    <n v="4"/>
    <n v="1.5001799999999998"/>
    <n v="9.9499999999999993"/>
    <n v="8.449819999999999"/>
  </r>
  <r>
    <x v="2"/>
    <s v="Hossomaki Salmão"/>
    <n v="4"/>
    <n v="1.5001799999999998"/>
    <n v="9.9499999999999993"/>
    <n v="8.449819999999999"/>
  </r>
  <r>
    <x v="3"/>
    <s v="Hossomaki Salmão"/>
    <n v="10"/>
    <n v="3.7504499999999998"/>
    <n v="24.875"/>
    <n v="21.124549999999999"/>
  </r>
  <r>
    <x v="4"/>
    <s v="Hossomaki Salmão"/>
    <n v="4"/>
    <n v="1.5001799999999998"/>
    <n v="9.9499999999999993"/>
    <n v="8.449819999999999"/>
  </r>
  <r>
    <x v="5"/>
    <s v="Hossomaki Salmão"/>
    <n v="8"/>
    <n v="3.0003599999999997"/>
    <n v="19.899999999999999"/>
    <n v="16.899639999999998"/>
  </r>
  <r>
    <x v="6"/>
    <s v="Hossomaki Salmão"/>
    <n v="10"/>
    <n v="3.7504499999999998"/>
    <n v="24.875"/>
    <n v="21.124549999999999"/>
  </r>
  <r>
    <x v="7"/>
    <s v="Hossomaki Salmão"/>
    <n v="8"/>
    <n v="3.0003599999999997"/>
    <n v="19.899999999999999"/>
    <n v="16.899639999999998"/>
  </r>
  <r>
    <x v="3"/>
    <s v="Hossomaki Salmão"/>
    <n v="10"/>
    <n v="3.7504499999999998"/>
    <n v="24.875"/>
    <n v="21.124549999999999"/>
  </r>
  <r>
    <x v="5"/>
    <s v="Hossomaki Salmão"/>
    <n v="8"/>
    <n v="3.0003599999999997"/>
    <n v="19.899999999999999"/>
    <n v="16.899639999999998"/>
  </r>
  <r>
    <x v="3"/>
    <s v="Hossomaki Skin (salmão)"/>
    <n v="10"/>
    <n v="3.7504499999999998"/>
    <n v="24.875"/>
    <n v="21.124549999999999"/>
  </r>
  <r>
    <x v="7"/>
    <s v="Hot Holl"/>
    <n v="6"/>
    <n v="2.3237505159574465"/>
    <n v="21.674999999999997"/>
    <n v="19.351249484042551"/>
  </r>
  <r>
    <x v="1"/>
    <s v="Hot Holl"/>
    <n v="4"/>
    <n v="1.5491670106382978"/>
    <n v="14.45"/>
    <n v="12.900832989361701"/>
  </r>
  <r>
    <x v="0"/>
    <s v="Hot Holl"/>
    <n v="3"/>
    <n v="1.1618752579787233"/>
    <n v="10.837499999999999"/>
    <n v="9.6756247420212755"/>
  </r>
  <r>
    <x v="3"/>
    <s v="Hot Holl"/>
    <n v="10"/>
    <n v="3.8729175265957445"/>
    <n v="36.125"/>
    <n v="32.252082473404258"/>
  </r>
  <r>
    <x v="5"/>
    <s v="Hot Holl"/>
    <n v="8"/>
    <n v="3.0983340212765955"/>
    <n v="28.9"/>
    <n v="25.801665978723403"/>
  </r>
  <r>
    <x v="3"/>
    <s v="Hot Premium"/>
    <n v="10"/>
    <n v="6.118199999999999"/>
    <n v="36.125"/>
    <n v="30.006800000000002"/>
  </r>
  <r>
    <x v="6"/>
    <s v="Hot Premium"/>
    <n v="10"/>
    <n v="6.118199999999999"/>
    <n v="36.125"/>
    <n v="30.006800000000002"/>
  </r>
  <r>
    <x v="8"/>
    <s v="Hot Premium"/>
    <n v="5"/>
    <n v="3.0590999999999995"/>
    <n v="18.0625"/>
    <n v="15.003400000000001"/>
  </r>
  <r>
    <x v="7"/>
    <s v="Joe Crisp"/>
    <n v="4"/>
    <n v="3.3431999999999999"/>
    <n v="14.95"/>
    <n v="11.6068"/>
  </r>
  <r>
    <x v="3"/>
    <s v="Joe Crisp"/>
    <n v="8"/>
    <n v="6.6863999999999999"/>
    <n v="29.9"/>
    <n v="23.2136"/>
  </r>
  <r>
    <x v="6"/>
    <s v="Joe Crisp"/>
    <n v="6"/>
    <n v="5.0148000000000001"/>
    <n v="22.424999999999997"/>
    <n v="17.410199999999996"/>
  </r>
  <r>
    <x v="1"/>
    <s v="Joe Geleia de Pimenta"/>
    <n v="4"/>
    <n v="3.7692166666666664"/>
    <n v="14.95"/>
    <n v="11.180783333333332"/>
  </r>
  <r>
    <x v="6"/>
    <s v="Joe Geleia de Pimenta"/>
    <n v="6"/>
    <n v="5.6538249999999994"/>
    <n v="22.424999999999997"/>
    <n v="16.771174999999999"/>
  </r>
  <r>
    <x v="3"/>
    <s v="Joe Pepino"/>
    <n v="8"/>
    <n v="0.81979999999999997"/>
    <n v="28.9"/>
    <n v="28.080199999999998"/>
  </r>
  <r>
    <x v="7"/>
    <s v="Joe Pepino"/>
    <n v="4"/>
    <n v="0.40989999999999999"/>
    <n v="14.45"/>
    <n v="14.040099999999999"/>
  </r>
  <r>
    <x v="0"/>
    <s v="Joe Pepino"/>
    <n v="3"/>
    <n v="0.307425"/>
    <n v="10.837499999999999"/>
    <n v="10.530074999999998"/>
  </r>
  <r>
    <x v="2"/>
    <s v="Joe Pepino"/>
    <n v="4"/>
    <n v="0.40989999999999999"/>
    <n v="14.45"/>
    <n v="14.040099999999999"/>
  </r>
  <r>
    <x v="6"/>
    <s v="Joe Salmão"/>
    <n v="6"/>
    <n v="4.9188000000000001"/>
    <n v="22.424999999999997"/>
    <n v="17.506199999999996"/>
  </r>
  <r>
    <x v="3"/>
    <s v="Joe Salmão"/>
    <n v="8"/>
    <n v="6.5583999999999998"/>
    <n v="29.9"/>
    <n v="23.3416"/>
  </r>
  <r>
    <x v="7"/>
    <s v="Joe Salmão"/>
    <n v="4"/>
    <n v="3.2791999999999999"/>
    <n v="14.95"/>
    <n v="11.6708"/>
  </r>
  <r>
    <x v="4"/>
    <s v="Joe Salmão"/>
    <n v="3"/>
    <n v="2.4594"/>
    <n v="11.212499999999999"/>
    <n v="8.7530999999999981"/>
  </r>
  <r>
    <x v="8"/>
    <s v="Joe Salmão Crispy"/>
    <n v="4"/>
    <n v="3.3431999999999999"/>
    <n v="14.95"/>
    <n v="11.6068"/>
  </r>
  <r>
    <x v="0"/>
    <s v="Niguiri Salmão"/>
    <n v="3"/>
    <n v="1.5522000000000002"/>
    <n v="10.966666666666667"/>
    <n v="9.4144666666666659"/>
  </r>
  <r>
    <x v="6"/>
    <s v="Niguiri Salmão"/>
    <n v="10"/>
    <n v="5.1740000000000013"/>
    <n v="36.555555555555557"/>
    <n v="31.381555555555558"/>
  </r>
  <r>
    <x v="2"/>
    <s v="Niguiri Salmão"/>
    <n v="2"/>
    <n v="1.0348000000000002"/>
    <n v="7.3111111111111109"/>
    <n v="6.2763111111111112"/>
  </r>
  <r>
    <x v="3"/>
    <s v="Niguiri Salmão"/>
    <n v="10"/>
    <n v="5.1740000000000013"/>
    <n v="36.555555555555557"/>
    <n v="31.381555555555558"/>
  </r>
  <r>
    <x v="4"/>
    <s v="Niguiri Salmão"/>
    <n v="6"/>
    <n v="3.1044000000000005"/>
    <n v="21.933333333333334"/>
    <n v="18.828933333333332"/>
  </r>
  <r>
    <x v="5"/>
    <s v="Niguiri Salmão Premium"/>
    <n v="6"/>
    <n v="3.6443999999999996"/>
    <n v="19.266666666666666"/>
    <n v="15.622266666666667"/>
  </r>
  <r>
    <x v="3"/>
    <s v="Niguiri Skin"/>
    <n v="10"/>
    <n v="0.574888888888889"/>
    <n v="32.111111111111107"/>
    <n v="31.536222222222218"/>
  </r>
  <r>
    <x v="6"/>
    <s v="Niguiri Skin"/>
    <n v="5"/>
    <n v="0.2874444444444445"/>
    <n v="16.055555555555554"/>
    <n v="15.768111111111109"/>
  </r>
  <r>
    <x v="2"/>
    <s v="Niguiri Skin"/>
    <n v="2"/>
    <n v="0.11497777777777779"/>
    <n v="6.4222222222222216"/>
    <n v="6.3072444444444438"/>
  </r>
  <r>
    <x v="0"/>
    <s v="Sashimi Massaricado"/>
    <n v="3"/>
    <n v="1.8900000000000001"/>
    <n v="10.77"/>
    <n v="8.879999999999999"/>
  </r>
  <r>
    <x v="5"/>
    <s v="Sashimi Salmão"/>
    <n v="8"/>
    <n v="5.04"/>
    <n v="28.72"/>
    <n v="23.68"/>
  </r>
  <r>
    <x v="3"/>
    <s v="Sashimi Salmão"/>
    <n v="30"/>
    <n v="18.899999999999999"/>
    <n v="107.69999999999999"/>
    <n v="88.799999999999983"/>
  </r>
  <r>
    <x v="6"/>
    <s v="Sashimi Salmão"/>
    <n v="20"/>
    <n v="12.6"/>
    <n v="71.8"/>
    <n v="59.199999999999996"/>
  </r>
  <r>
    <x v="7"/>
    <s v="Sashimi Salmão"/>
    <n v="10"/>
    <n v="6.3"/>
    <n v="35.9"/>
    <n v="29.599999999999998"/>
  </r>
  <r>
    <x v="4"/>
    <s v="Sashimi Salmão"/>
    <n v="6"/>
    <n v="3.7800000000000002"/>
    <n v="21.54"/>
    <n v="17.759999999999998"/>
  </r>
  <r>
    <x v="1"/>
    <s v="Sashimi Salmão"/>
    <n v="5"/>
    <n v="3.15"/>
    <n v="17.95"/>
    <n v="14.799999999999999"/>
  </r>
  <r>
    <x v="8"/>
    <s v="Sashimi Salmão"/>
    <n v="10"/>
    <n v="6.3"/>
    <n v="35.9"/>
    <n v="29.599999999999998"/>
  </r>
  <r>
    <x v="8"/>
    <s v="Sunomono"/>
    <n v="1"/>
    <m/>
    <n v="0"/>
    <n v="0"/>
  </r>
  <r>
    <x v="2"/>
    <s v="Temaki California"/>
    <n v="1"/>
    <n v="5.6562000000000001"/>
    <n v="28.9"/>
    <n v="23.2438"/>
  </r>
  <r>
    <x v="5"/>
    <s v="Temaki Filadelfia"/>
    <n v="1"/>
    <n v="6.3323999999999998"/>
    <n v="26.9"/>
    <n v="20.567599999999999"/>
  </r>
  <r>
    <x v="4"/>
    <s v="Temaki Salmão Simples"/>
    <n v="1"/>
    <n v="5.6562000000000001"/>
    <n v="24.9"/>
    <n v="19.2438"/>
  </r>
  <r>
    <x v="2"/>
    <s v="Uramaki California"/>
    <n v="4"/>
    <n v="1.9917799999999999"/>
    <n v="14.45"/>
    <n v="12.458219999999999"/>
  </r>
  <r>
    <x v="4"/>
    <s v="Uramaki Filadelfia"/>
    <n v="4"/>
    <n v="2.3562799999999999"/>
    <n v="12.95"/>
    <n v="10.593719999999999"/>
  </r>
  <r>
    <x v="3"/>
    <s v="Uramaki Filadelfia"/>
    <n v="10"/>
    <n v="6.118199999999999"/>
    <n v="32.375"/>
    <n v="26.256800000000002"/>
  </r>
  <r>
    <x v="1"/>
    <s v="Uramaki Filadelfia"/>
    <n v="3"/>
    <n v="1.1251349999999998"/>
    <n v="9.7124999999999986"/>
    <n v="8.5873649999999984"/>
  </r>
  <r>
    <x v="7"/>
    <s v="Uramaki Filadelfia"/>
    <n v="4"/>
    <n v="2.0696000000000003"/>
    <n v="12.95"/>
    <n v="10.880399999999998"/>
  </r>
  <r>
    <x v="0"/>
    <s v="Uramaki Grelhado"/>
    <n v="3"/>
    <n v="1.8354599999999999"/>
    <n v="9.3374999999999986"/>
    <n v="7.5020399999999992"/>
  </r>
  <r>
    <x v="7"/>
    <s v="Uramaki Grelhado"/>
    <n v="4"/>
    <n v="2.4472799999999997"/>
    <n v="12.45"/>
    <n v="10.00272"/>
  </r>
  <r>
    <x v="3"/>
    <s v="Uramaki Premium"/>
    <n v="10"/>
    <n v="5.8906999999999998"/>
    <n v="36.125"/>
    <n v="30.234300000000001"/>
  </r>
  <r>
    <x v="6"/>
    <s v="Uramaki Premium"/>
    <n v="10"/>
    <n v="5.8906999999999998"/>
    <n v="36.125"/>
    <n v="30.234300000000001"/>
  </r>
  <r>
    <x v="8"/>
    <s v="Uramaki Premium"/>
    <n v="4"/>
    <n v="2.3562799999999999"/>
    <n v="14.45"/>
    <n v="12.093719999999999"/>
  </r>
  <r>
    <x v="3"/>
    <s v="Uramaki Salmão Grelhado"/>
    <n v="10"/>
    <n v="6.118199999999999"/>
    <n v="31.125"/>
    <n v="25.006800000000002"/>
  </r>
  <r>
    <x v="5"/>
    <s v="Uramaki Salmão Grelhado"/>
    <n v="8"/>
    <n v="4.8945599999999994"/>
    <n v="24.9"/>
    <n v="20.00544"/>
  </r>
  <r>
    <x v="8"/>
    <s v="Uramaki Skin"/>
    <n v="4"/>
    <n v="1.9917799999999999"/>
    <n v="14.45"/>
    <n v="12.458219999999999"/>
  </r>
  <r>
    <x v="9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A5E992-0D37-4101-BBE2-B5DAD3EE5920}" name="Tabela dinâmica2" cacheId="45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:B12" firstHeaderRow="1" firstDataRow="1" firstDataCol="1"/>
  <pivotFields count="6">
    <pivotField axis="axisRow" showAll="0">
      <items count="11">
        <item x="3"/>
        <item x="7"/>
        <item x="6"/>
        <item x="4"/>
        <item x="0"/>
        <item x="1"/>
        <item x="2"/>
        <item x="5"/>
        <item x="8"/>
        <item x="9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oma de Valor custo" fld="3" baseField="0" baseItem="0"/>
  </dataFields>
  <formats count="1">
    <format dxfId="0">
      <pivotArea collapsedLevelsAreSubtotals="1" fieldPosition="0">
        <references count="1"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5572F-DEF6-4869-8536-C9C65A4A9758}">
  <dimension ref="B1:G12"/>
  <sheetViews>
    <sheetView tabSelected="1" zoomScale="145" zoomScaleNormal="145" workbookViewId="0">
      <selection activeCell="E6" sqref="E6"/>
    </sheetView>
  </sheetViews>
  <sheetFormatPr defaultRowHeight="14.45"/>
  <cols>
    <col min="1" max="1" width="0.85546875" customWidth="1"/>
    <col min="2" max="2" width="13.5703125" customWidth="1"/>
    <col min="3" max="3" width="15.140625" customWidth="1"/>
    <col min="4" max="4" width="13.85546875" customWidth="1"/>
    <col min="5" max="5" width="14.28515625" customWidth="1"/>
    <col min="7" max="7" width="10.5703125" bestFit="1" customWidth="1"/>
  </cols>
  <sheetData>
    <row r="1" spans="2:7" ht="5.25" customHeight="1" thickBot="1"/>
    <row r="2" spans="2:7" ht="15" thickBot="1">
      <c r="B2" s="59" t="s">
        <v>0</v>
      </c>
      <c r="C2" s="60"/>
      <c r="D2" s="60"/>
      <c r="E2" s="61"/>
    </row>
    <row r="3" spans="2:7">
      <c r="B3" s="15" t="s">
        <v>1</v>
      </c>
      <c r="C3" s="16" t="s">
        <v>2</v>
      </c>
      <c r="D3" s="16" t="s">
        <v>3</v>
      </c>
      <c r="E3" s="17" t="s">
        <v>4</v>
      </c>
    </row>
    <row r="4" spans="2:7">
      <c r="B4" s="18" t="s">
        <v>5</v>
      </c>
      <c r="C4" s="2">
        <f>Funcionários!C11</f>
        <v>12800</v>
      </c>
      <c r="D4" s="2">
        <f>C4/4</f>
        <v>3200</v>
      </c>
      <c r="E4" s="19">
        <f>D4/5</f>
        <v>640</v>
      </c>
      <c r="G4" s="2">
        <f>D6/5</f>
        <v>715.1</v>
      </c>
    </row>
    <row r="5" spans="2:7">
      <c r="B5" s="18" t="s">
        <v>6</v>
      </c>
      <c r="C5" s="2">
        <f>Operação!D10</f>
        <v>1502</v>
      </c>
      <c r="D5" s="2">
        <f>C5/4</f>
        <v>375.5</v>
      </c>
      <c r="E5" s="19">
        <f>D5/5</f>
        <v>75.099999999999994</v>
      </c>
    </row>
    <row r="6" spans="2:7" ht="15" thickBot="1">
      <c r="B6" s="20" t="s">
        <v>7</v>
      </c>
      <c r="C6" s="21">
        <f>SUM(C4:C5)</f>
        <v>14302</v>
      </c>
      <c r="D6" s="21">
        <f>SUM(D4:D5)</f>
        <v>3575.5</v>
      </c>
      <c r="E6" s="22">
        <f>SUM(E4:E5)</f>
        <v>715.1</v>
      </c>
    </row>
    <row r="7" spans="2:7" ht="15" thickBot="1"/>
    <row r="8" spans="2:7" ht="15" thickBot="1">
      <c r="B8" s="59" t="s">
        <v>8</v>
      </c>
      <c r="C8" s="60"/>
      <c r="D8" s="60"/>
      <c r="E8" s="61"/>
    </row>
    <row r="9" spans="2:7">
      <c r="B9" s="15" t="s">
        <v>1</v>
      </c>
      <c r="C9" s="16" t="s">
        <v>2</v>
      </c>
      <c r="D9" s="16" t="s">
        <v>3</v>
      </c>
      <c r="E9" s="17" t="s">
        <v>4</v>
      </c>
    </row>
    <row r="10" spans="2:7">
      <c r="B10" s="18" t="s">
        <v>5</v>
      </c>
      <c r="C10" s="2">
        <f>Funcionários!G11</f>
        <v>8000</v>
      </c>
      <c r="D10" s="2">
        <f>C10/4</f>
        <v>2000</v>
      </c>
      <c r="E10" s="19">
        <f>D10/5</f>
        <v>400</v>
      </c>
    </row>
    <row r="11" spans="2:7">
      <c r="B11" s="18" t="s">
        <v>6</v>
      </c>
      <c r="C11" s="2">
        <f>Operação!D10</f>
        <v>1502</v>
      </c>
      <c r="D11" s="2">
        <f>C11/4</f>
        <v>375.5</v>
      </c>
      <c r="E11" s="19">
        <f>D11/5</f>
        <v>75.099999999999994</v>
      </c>
    </row>
    <row r="12" spans="2:7" ht="15" thickBot="1">
      <c r="B12" s="20" t="s">
        <v>7</v>
      </c>
      <c r="C12" s="21">
        <f>SUM(C10:C11)</f>
        <v>9502</v>
      </c>
      <c r="D12" s="21">
        <f>SUM(D10:D11)</f>
        <v>2375.5</v>
      </c>
      <c r="E12" s="22">
        <f>SUM(E10:E11)</f>
        <v>475.1</v>
      </c>
    </row>
  </sheetData>
  <mergeCells count="2">
    <mergeCell ref="B8:E8"/>
    <mergeCell ref="B2:E2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C9D00-F299-4FBB-BB6F-7487945E3A34}">
  <dimension ref="A1:G14"/>
  <sheetViews>
    <sheetView zoomScale="130" zoomScaleNormal="130" workbookViewId="0">
      <selection activeCell="K10" sqref="K10"/>
    </sheetView>
  </sheetViews>
  <sheetFormatPr defaultRowHeight="14.45"/>
  <cols>
    <col min="1" max="1" width="12.5703125" bestFit="1" customWidth="1"/>
    <col min="2" max="2" width="14.28515625" customWidth="1"/>
    <col min="3" max="3" width="13.85546875" bestFit="1" customWidth="1"/>
    <col min="4" max="4" width="1.5703125" customWidth="1"/>
    <col min="5" max="6" width="11.85546875" bestFit="1" customWidth="1"/>
    <col min="7" max="7" width="12.85546875" bestFit="1" customWidth="1"/>
  </cols>
  <sheetData>
    <row r="1" spans="1:7" ht="4.9000000000000004" customHeight="1" thickBot="1"/>
    <row r="2" spans="1:7" ht="16.149999999999999" thickBot="1">
      <c r="A2" s="62" t="s">
        <v>0</v>
      </c>
      <c r="B2" s="63"/>
      <c r="C2" s="64"/>
      <c r="E2" s="62" t="s">
        <v>8</v>
      </c>
      <c r="F2" s="63"/>
      <c r="G2" s="64"/>
    </row>
    <row r="3" spans="1:7">
      <c r="A3" s="47" t="s">
        <v>9</v>
      </c>
      <c r="B3" s="48" t="s">
        <v>10</v>
      </c>
      <c r="C3" s="49" t="s">
        <v>11</v>
      </c>
      <c r="E3" s="47" t="s">
        <v>9</v>
      </c>
      <c r="F3" s="48" t="s">
        <v>10</v>
      </c>
      <c r="G3" s="49" t="s">
        <v>11</v>
      </c>
    </row>
    <row r="4" spans="1:7">
      <c r="A4" s="18" t="s">
        <v>12</v>
      </c>
      <c r="B4" s="42">
        <v>100</v>
      </c>
      <c r="C4" s="43">
        <f>B4*22</f>
        <v>2200</v>
      </c>
      <c r="E4" s="18" t="s">
        <v>12</v>
      </c>
      <c r="F4" s="42">
        <v>100</v>
      </c>
      <c r="G4" s="43">
        <f>F4*12</f>
        <v>1200</v>
      </c>
    </row>
    <row r="5" spans="1:7">
      <c r="A5" s="18" t="s">
        <v>13</v>
      </c>
      <c r="B5" s="42">
        <v>100</v>
      </c>
      <c r="C5" s="43">
        <f>B5*8</f>
        <v>800</v>
      </c>
      <c r="E5" s="18" t="s">
        <v>13</v>
      </c>
      <c r="F5" s="42">
        <v>100</v>
      </c>
      <c r="G5" s="43">
        <v>0</v>
      </c>
    </row>
    <row r="6" spans="1:7">
      <c r="A6" s="18" t="s">
        <v>14</v>
      </c>
      <c r="B6" s="42">
        <v>100</v>
      </c>
      <c r="C6" s="43">
        <f t="shared" ref="C5:C10" si="0">B6*22</f>
        <v>2200</v>
      </c>
      <c r="E6" s="18" t="s">
        <v>14</v>
      </c>
      <c r="F6" s="42">
        <v>100</v>
      </c>
      <c r="G6" s="43">
        <f>F6*12</f>
        <v>1200</v>
      </c>
    </row>
    <row r="7" spans="1:7">
      <c r="A7" s="18" t="s">
        <v>15</v>
      </c>
      <c r="B7" s="42">
        <v>100</v>
      </c>
      <c r="C7" s="43">
        <f t="shared" si="0"/>
        <v>2200</v>
      </c>
      <c r="E7" s="18" t="s">
        <v>15</v>
      </c>
      <c r="F7" s="42">
        <v>100</v>
      </c>
      <c r="G7" s="43">
        <f>F7*12</f>
        <v>1200</v>
      </c>
    </row>
    <row r="8" spans="1:7">
      <c r="A8" s="18" t="s">
        <v>16</v>
      </c>
      <c r="B8" s="42">
        <v>100</v>
      </c>
      <c r="C8" s="43">
        <f t="shared" si="0"/>
        <v>2200</v>
      </c>
      <c r="E8" s="18" t="s">
        <v>16</v>
      </c>
      <c r="F8" s="42">
        <v>100</v>
      </c>
      <c r="G8" s="43">
        <f>F8*12</f>
        <v>1200</v>
      </c>
    </row>
    <row r="9" spans="1:7">
      <c r="A9" s="18" t="s">
        <v>17</v>
      </c>
      <c r="B9" s="42">
        <v>100</v>
      </c>
      <c r="C9" s="43">
        <f>B9*12</f>
        <v>1200</v>
      </c>
      <c r="E9" s="18" t="s">
        <v>17</v>
      </c>
      <c r="F9" s="42">
        <v>100</v>
      </c>
      <c r="G9" s="43">
        <f>F9*12</f>
        <v>1200</v>
      </c>
    </row>
    <row r="10" spans="1:7" ht="15" thickBot="1">
      <c r="A10" s="50" t="s">
        <v>18</v>
      </c>
      <c r="B10" s="51">
        <v>60</v>
      </c>
      <c r="C10" s="52">
        <v>2000</v>
      </c>
      <c r="E10" s="18" t="s">
        <v>18</v>
      </c>
      <c r="F10" s="42">
        <v>60</v>
      </c>
      <c r="G10" s="43">
        <v>2000</v>
      </c>
    </row>
    <row r="11" spans="1:7" ht="15" thickBot="1">
      <c r="A11" s="44" t="s">
        <v>19</v>
      </c>
      <c r="B11" s="45"/>
      <c r="C11" s="46">
        <f>SUM(C4:C10)</f>
        <v>12800</v>
      </c>
      <c r="E11" s="53" t="s">
        <v>19</v>
      </c>
      <c r="F11" s="54"/>
      <c r="G11" s="55">
        <f>SUM(G4:G10)</f>
        <v>8000</v>
      </c>
    </row>
    <row r="13" spans="1:7" ht="15" thickBot="1"/>
    <row r="14" spans="1:7" ht="15" thickBot="1">
      <c r="E14" s="56" t="s">
        <v>20</v>
      </c>
      <c r="F14" s="55">
        <f>C11-G11</f>
        <v>4800</v>
      </c>
    </row>
  </sheetData>
  <mergeCells count="2">
    <mergeCell ref="A2:C2"/>
    <mergeCell ref="E2:G2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D9605-5A70-4E6B-A6CF-46941858C53A}">
  <dimension ref="A1:F12"/>
  <sheetViews>
    <sheetView zoomScale="145" zoomScaleNormal="145" workbookViewId="0">
      <selection activeCell="D13" sqref="D13"/>
    </sheetView>
  </sheetViews>
  <sheetFormatPr defaultRowHeight="14.45"/>
  <cols>
    <col min="1" max="1" width="12.85546875" customWidth="1"/>
    <col min="2" max="2" width="13" customWidth="1"/>
    <col min="3" max="3" width="10.5703125" bestFit="1" customWidth="1"/>
    <col min="4" max="4" width="12.28515625" bestFit="1" customWidth="1"/>
    <col min="6" max="6" width="9.5703125" bestFit="1" customWidth="1"/>
  </cols>
  <sheetData>
    <row r="1" spans="1:6">
      <c r="A1" s="4" t="s">
        <v>6</v>
      </c>
      <c r="B1" s="4" t="s">
        <v>21</v>
      </c>
      <c r="C1" t="s">
        <v>22</v>
      </c>
      <c r="D1" t="s">
        <v>23</v>
      </c>
    </row>
    <row r="2" spans="1:6">
      <c r="A2" t="s">
        <v>24</v>
      </c>
      <c r="B2" s="1">
        <v>50</v>
      </c>
      <c r="D2" s="2">
        <f>B2</f>
        <v>50</v>
      </c>
    </row>
    <row r="3" spans="1:6">
      <c r="A3" t="s">
        <v>25</v>
      </c>
      <c r="B3" s="1">
        <v>100</v>
      </c>
      <c r="D3" s="2">
        <f t="shared" ref="D3:D7" si="0">B3</f>
        <v>100</v>
      </c>
    </row>
    <row r="4" spans="1:6">
      <c r="A4" t="s">
        <v>26</v>
      </c>
      <c r="B4" s="1">
        <v>120</v>
      </c>
      <c r="C4" t="s">
        <v>27</v>
      </c>
      <c r="D4" s="2">
        <f>3*24</f>
        <v>72</v>
      </c>
      <c r="E4" s="2"/>
      <c r="F4" s="2"/>
    </row>
    <row r="5" spans="1:6">
      <c r="A5" t="s">
        <v>28</v>
      </c>
      <c r="B5" s="1">
        <v>100</v>
      </c>
      <c r="D5" s="2">
        <f>B5</f>
        <v>100</v>
      </c>
    </row>
    <row r="6" spans="1:6">
      <c r="A6" t="s">
        <v>29</v>
      </c>
      <c r="B6" s="1">
        <v>800</v>
      </c>
      <c r="D6" s="2">
        <f t="shared" si="0"/>
        <v>800</v>
      </c>
    </row>
    <row r="7" spans="1:6">
      <c r="A7" t="s">
        <v>30</v>
      </c>
      <c r="B7" s="1">
        <v>60</v>
      </c>
      <c r="D7" s="2">
        <f t="shared" si="0"/>
        <v>60</v>
      </c>
    </row>
    <row r="8" spans="1:6">
      <c r="A8" t="s">
        <v>31</v>
      </c>
      <c r="B8" s="1">
        <v>20</v>
      </c>
      <c r="C8" t="s">
        <v>32</v>
      </c>
      <c r="D8" s="2">
        <f>B8*10</f>
        <v>200</v>
      </c>
    </row>
    <row r="9" spans="1:6">
      <c r="A9" t="s">
        <v>33</v>
      </c>
      <c r="B9" s="1">
        <v>80</v>
      </c>
      <c r="C9" t="s">
        <v>34</v>
      </c>
      <c r="D9" s="2">
        <f>B9*1.5</f>
        <v>120</v>
      </c>
    </row>
    <row r="10" spans="1:6">
      <c r="D10" s="2">
        <f>SUM(D2:D9)</f>
        <v>1502</v>
      </c>
    </row>
    <row r="12" spans="1:6">
      <c r="D12" s="2">
        <f>D10/4</f>
        <v>375.5</v>
      </c>
    </row>
  </sheetData>
  <pageMargins left="0.511811024" right="0.511811024" top="0.78740157499999996" bottom="0.78740157499999996" header="0.31496062000000002" footer="0.31496062000000002"/>
  <ignoredErrors>
    <ignoredError sqref="D4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4F44D-4021-4FAE-8F3D-858823DA3A7B}">
  <dimension ref="A1:D9"/>
  <sheetViews>
    <sheetView zoomScale="145" zoomScaleNormal="145" workbookViewId="0">
      <selection activeCell="A5" sqref="A5:D9"/>
    </sheetView>
  </sheetViews>
  <sheetFormatPr defaultRowHeight="14.45"/>
  <cols>
    <col min="1" max="1" width="38.28515625" customWidth="1"/>
    <col min="4" max="4" width="10.7109375" bestFit="1" customWidth="1"/>
  </cols>
  <sheetData>
    <row r="1" spans="1:4">
      <c r="A1" s="58" t="s">
        <v>35</v>
      </c>
      <c r="B1" s="58" t="s">
        <v>36</v>
      </c>
      <c r="C1" s="58" t="s">
        <v>37</v>
      </c>
      <c r="D1" s="58" t="s">
        <v>19</v>
      </c>
    </row>
    <row r="2" spans="1:4">
      <c r="A2" t="s">
        <v>38</v>
      </c>
      <c r="B2">
        <v>200</v>
      </c>
      <c r="C2" s="1">
        <v>1.59</v>
      </c>
      <c r="D2" s="2">
        <f>B2*C2</f>
        <v>318</v>
      </c>
    </row>
    <row r="3" spans="1:4">
      <c r="A3" t="s">
        <v>39</v>
      </c>
      <c r="B3">
        <v>200</v>
      </c>
      <c r="C3" s="1">
        <v>1.99</v>
      </c>
      <c r="D3" s="2">
        <f t="shared" ref="D3:D8" si="0">B3*C3</f>
        <v>398</v>
      </c>
    </row>
    <row r="4" spans="1:4">
      <c r="A4" t="s">
        <v>40</v>
      </c>
      <c r="B4">
        <v>100</v>
      </c>
      <c r="C4" s="1">
        <v>3.25</v>
      </c>
      <c r="D4" s="2">
        <f t="shared" si="0"/>
        <v>325</v>
      </c>
    </row>
    <row r="5" spans="1:4">
      <c r="A5" t="s">
        <v>41</v>
      </c>
      <c r="B5">
        <v>40</v>
      </c>
      <c r="C5" s="1">
        <v>6</v>
      </c>
      <c r="D5" s="2">
        <f t="shared" si="0"/>
        <v>240</v>
      </c>
    </row>
    <row r="6" spans="1:4">
      <c r="A6" t="s">
        <v>42</v>
      </c>
      <c r="B6">
        <v>40</v>
      </c>
      <c r="C6" s="1">
        <v>4.1500000000000004</v>
      </c>
      <c r="D6" s="2">
        <f t="shared" si="0"/>
        <v>166</v>
      </c>
    </row>
    <row r="7" spans="1:4">
      <c r="A7" t="s">
        <v>43</v>
      </c>
      <c r="B7">
        <v>100</v>
      </c>
      <c r="C7" s="1">
        <v>1</v>
      </c>
      <c r="D7" s="2">
        <f t="shared" si="0"/>
        <v>100</v>
      </c>
    </row>
    <row r="8" spans="1:4">
      <c r="A8" t="s">
        <v>44</v>
      </c>
      <c r="B8">
        <v>100</v>
      </c>
      <c r="C8" s="1">
        <v>0.7</v>
      </c>
      <c r="D8" s="2">
        <f t="shared" si="0"/>
        <v>70</v>
      </c>
    </row>
    <row r="9" spans="1:4">
      <c r="A9" t="s">
        <v>45</v>
      </c>
      <c r="B9">
        <v>24</v>
      </c>
      <c r="C9" s="2">
        <f>D9/B9</f>
        <v>0.75</v>
      </c>
      <c r="D9" s="1">
        <v>18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645D5-39EF-432D-8C8C-CA763497CE93}">
  <dimension ref="A1:J28"/>
  <sheetViews>
    <sheetView zoomScale="150" zoomScaleNormal="150" workbookViewId="0">
      <selection activeCell="A21" sqref="A21:G26"/>
    </sheetView>
  </sheetViews>
  <sheetFormatPr defaultRowHeight="14.45"/>
  <cols>
    <col min="1" max="1" width="17" bestFit="1" customWidth="1"/>
    <col min="2" max="3" width="10.7109375" customWidth="1"/>
    <col min="4" max="4" width="10.42578125" customWidth="1"/>
    <col min="5" max="5" width="14.42578125" customWidth="1"/>
    <col min="6" max="6" width="22.28515625" bestFit="1" customWidth="1"/>
    <col min="7" max="9" width="14.42578125" customWidth="1"/>
    <col min="10" max="10" width="17.5703125" customWidth="1"/>
  </cols>
  <sheetData>
    <row r="1" spans="1:10">
      <c r="A1" s="58" t="s">
        <v>46</v>
      </c>
      <c r="B1" s="58" t="s">
        <v>47</v>
      </c>
      <c r="C1" s="58" t="s">
        <v>48</v>
      </c>
      <c r="D1" s="58" t="s">
        <v>21</v>
      </c>
      <c r="F1" s="58" t="s">
        <v>49</v>
      </c>
      <c r="G1" s="58" t="s">
        <v>50</v>
      </c>
      <c r="J1" s="58"/>
    </row>
    <row r="2" spans="1:10">
      <c r="A2" t="s">
        <v>51</v>
      </c>
      <c r="B2">
        <v>5</v>
      </c>
      <c r="C2" t="s">
        <v>52</v>
      </c>
      <c r="D2" s="1">
        <v>44</v>
      </c>
      <c r="F2" s="8">
        <v>5000</v>
      </c>
      <c r="G2" s="2">
        <f>D2/F2</f>
        <v>8.8000000000000005E-3</v>
      </c>
      <c r="J2" s="6"/>
    </row>
    <row r="3" spans="1:10">
      <c r="A3" t="s">
        <v>53</v>
      </c>
      <c r="B3">
        <v>30</v>
      </c>
      <c r="C3" t="s">
        <v>52</v>
      </c>
      <c r="D3" s="1">
        <v>45</v>
      </c>
      <c r="F3" s="8">
        <v>1000</v>
      </c>
      <c r="G3" s="2">
        <f>D3/F3</f>
        <v>4.4999999999999998E-2</v>
      </c>
    </row>
    <row r="4" spans="1:10">
      <c r="A4" t="s">
        <v>54</v>
      </c>
      <c r="B4">
        <v>130</v>
      </c>
      <c r="C4" t="s">
        <v>55</v>
      </c>
      <c r="D4" s="1">
        <v>54.9</v>
      </c>
      <c r="F4" s="8">
        <v>130</v>
      </c>
      <c r="G4" s="2">
        <f t="shared" ref="G4:G19" si="0">D4/F4</f>
        <v>0.42230769230769227</v>
      </c>
    </row>
    <row r="5" spans="1:10">
      <c r="A5" t="s">
        <v>56</v>
      </c>
      <c r="B5">
        <v>100</v>
      </c>
      <c r="C5" t="s">
        <v>57</v>
      </c>
      <c r="D5" s="1">
        <v>6</v>
      </c>
      <c r="F5" s="8">
        <v>100</v>
      </c>
      <c r="G5" s="2">
        <f t="shared" si="0"/>
        <v>0.06</v>
      </c>
    </row>
    <row r="6" spans="1:10">
      <c r="A6" t="s">
        <v>58</v>
      </c>
      <c r="B6" t="s">
        <v>59</v>
      </c>
      <c r="C6" t="s">
        <v>55</v>
      </c>
      <c r="D6" s="1">
        <v>54.9</v>
      </c>
      <c r="F6" s="8">
        <v>1500</v>
      </c>
      <c r="G6" s="2">
        <f t="shared" si="0"/>
        <v>3.6600000000000001E-2</v>
      </c>
    </row>
    <row r="7" spans="1:10">
      <c r="A7" t="s">
        <v>60</v>
      </c>
      <c r="B7">
        <v>1</v>
      </c>
      <c r="C7" t="s">
        <v>52</v>
      </c>
      <c r="D7" s="1">
        <v>7</v>
      </c>
      <c r="F7" s="8">
        <v>1000</v>
      </c>
      <c r="G7" s="2">
        <f t="shared" si="0"/>
        <v>7.0000000000000001E-3</v>
      </c>
    </row>
    <row r="8" spans="1:10">
      <c r="A8" t="s">
        <v>61</v>
      </c>
      <c r="B8" t="s">
        <v>62</v>
      </c>
      <c r="C8" t="s">
        <v>52</v>
      </c>
      <c r="D8" s="1">
        <v>55</v>
      </c>
      <c r="F8" s="8">
        <v>1000</v>
      </c>
      <c r="G8" s="2">
        <f t="shared" si="0"/>
        <v>5.5E-2</v>
      </c>
    </row>
    <row r="9" spans="1:10">
      <c r="A9" t="s">
        <v>63</v>
      </c>
      <c r="B9" t="s">
        <v>64</v>
      </c>
      <c r="C9" t="s">
        <v>55</v>
      </c>
      <c r="D9" s="1">
        <v>13</v>
      </c>
      <c r="F9" s="8">
        <v>200</v>
      </c>
      <c r="G9" s="2">
        <f t="shared" si="0"/>
        <v>6.5000000000000002E-2</v>
      </c>
    </row>
    <row r="10" spans="1:10">
      <c r="A10" t="s">
        <v>65</v>
      </c>
      <c r="D10" s="1"/>
      <c r="E10" t="s">
        <v>66</v>
      </c>
      <c r="F10" s="8"/>
      <c r="G10" s="2"/>
    </row>
    <row r="11" spans="1:10">
      <c r="A11" t="s">
        <v>67</v>
      </c>
      <c r="B11" t="s">
        <v>68</v>
      </c>
      <c r="C11" t="s">
        <v>55</v>
      </c>
      <c r="D11" s="1">
        <v>8</v>
      </c>
      <c r="F11" s="8">
        <v>500</v>
      </c>
      <c r="G11" s="2">
        <f t="shared" si="0"/>
        <v>1.6E-2</v>
      </c>
    </row>
    <row r="12" spans="1:10">
      <c r="A12" t="s">
        <v>69</v>
      </c>
      <c r="B12" t="s">
        <v>70</v>
      </c>
      <c r="C12" t="s">
        <v>55</v>
      </c>
      <c r="D12" s="1">
        <v>19</v>
      </c>
      <c r="F12" s="8">
        <v>300</v>
      </c>
      <c r="G12" s="2">
        <f t="shared" si="0"/>
        <v>6.3333333333333339E-2</v>
      </c>
    </row>
    <row r="13" spans="1:10">
      <c r="A13" t="s">
        <v>71</v>
      </c>
      <c r="B13" t="s">
        <v>62</v>
      </c>
      <c r="C13" s="5" t="s">
        <v>52</v>
      </c>
      <c r="D13" s="1">
        <v>25</v>
      </c>
      <c r="F13" s="8">
        <v>1000</v>
      </c>
      <c r="G13" s="2">
        <f t="shared" si="0"/>
        <v>2.5000000000000001E-2</v>
      </c>
    </row>
    <row r="14" spans="1:10">
      <c r="A14" t="s">
        <v>72</v>
      </c>
      <c r="B14" t="s">
        <v>68</v>
      </c>
      <c r="C14" s="5" t="s">
        <v>55</v>
      </c>
      <c r="D14" s="1">
        <v>8</v>
      </c>
      <c r="F14" s="8">
        <v>500</v>
      </c>
      <c r="G14" s="2">
        <f t="shared" si="0"/>
        <v>1.6E-2</v>
      </c>
    </row>
    <row r="15" spans="1:10">
      <c r="A15" t="s">
        <v>73</v>
      </c>
      <c r="B15">
        <v>1</v>
      </c>
      <c r="C15" t="s">
        <v>74</v>
      </c>
      <c r="D15" s="1">
        <v>5</v>
      </c>
      <c r="F15" s="8">
        <v>1000</v>
      </c>
      <c r="G15" s="2">
        <f t="shared" si="0"/>
        <v>5.0000000000000001E-3</v>
      </c>
    </row>
    <row r="16" spans="1:10">
      <c r="A16" t="s">
        <v>75</v>
      </c>
      <c r="B16">
        <v>20</v>
      </c>
      <c r="C16" t="s">
        <v>76</v>
      </c>
      <c r="D16" s="1">
        <v>18</v>
      </c>
      <c r="F16" s="8">
        <v>940</v>
      </c>
      <c r="G16" s="2">
        <f t="shared" si="0"/>
        <v>1.9148936170212766E-2</v>
      </c>
    </row>
    <row r="17" spans="1:7">
      <c r="A17" t="s">
        <v>77</v>
      </c>
      <c r="B17" t="s">
        <v>62</v>
      </c>
      <c r="C17" s="5" t="s">
        <v>52</v>
      </c>
      <c r="D17" s="1">
        <v>4</v>
      </c>
      <c r="F17" s="8">
        <v>1000</v>
      </c>
      <c r="G17" s="2">
        <f t="shared" si="0"/>
        <v>4.0000000000000001E-3</v>
      </c>
    </row>
    <row r="18" spans="1:7">
      <c r="A18" t="s">
        <v>78</v>
      </c>
      <c r="B18">
        <v>1</v>
      </c>
      <c r="C18" s="5" t="s">
        <v>52</v>
      </c>
      <c r="D18" s="1">
        <v>17.899999999999999</v>
      </c>
      <c r="F18" s="8">
        <v>1000</v>
      </c>
      <c r="G18" s="2">
        <f t="shared" si="0"/>
        <v>1.7899999999999999E-2</v>
      </c>
    </row>
    <row r="19" spans="1:7">
      <c r="A19" t="s">
        <v>79</v>
      </c>
      <c r="B19">
        <v>1.2</v>
      </c>
      <c r="C19" s="5" t="s">
        <v>52</v>
      </c>
      <c r="D19" s="1">
        <v>30.49</v>
      </c>
      <c r="F19" s="8">
        <v>1200</v>
      </c>
      <c r="G19" s="2">
        <f t="shared" si="0"/>
        <v>2.5408333333333331E-2</v>
      </c>
    </row>
    <row r="20" spans="1:7">
      <c r="A20" t="s">
        <v>80</v>
      </c>
      <c r="B20">
        <v>20</v>
      </c>
      <c r="C20" s="5" t="s">
        <v>81</v>
      </c>
      <c r="D20" s="1">
        <v>120</v>
      </c>
      <c r="F20" s="8">
        <v>23000</v>
      </c>
      <c r="G20" s="2">
        <f>D20/F20</f>
        <v>5.2173913043478265E-3</v>
      </c>
    </row>
    <row r="21" spans="1:7">
      <c r="A21" t="s">
        <v>82</v>
      </c>
      <c r="B21">
        <v>1</v>
      </c>
      <c r="D21" s="1">
        <v>6</v>
      </c>
      <c r="E21" t="s">
        <v>83</v>
      </c>
      <c r="F21" s="8"/>
      <c r="G21" s="2"/>
    </row>
    <row r="22" spans="1:7">
      <c r="A22" t="s">
        <v>84</v>
      </c>
      <c r="B22">
        <v>1</v>
      </c>
      <c r="C22" s="5" t="s">
        <v>52</v>
      </c>
      <c r="D22" s="1">
        <v>6</v>
      </c>
      <c r="E22" t="s">
        <v>85</v>
      </c>
      <c r="F22" s="8"/>
      <c r="G22" s="2"/>
    </row>
    <row r="23" spans="1:7">
      <c r="A23" t="s">
        <v>86</v>
      </c>
      <c r="B23">
        <v>0</v>
      </c>
      <c r="D23" s="1">
        <v>0</v>
      </c>
      <c r="F23" s="8"/>
      <c r="G23" s="2"/>
    </row>
    <row r="24" spans="1:7">
      <c r="A24" t="s">
        <v>87</v>
      </c>
      <c r="B24">
        <v>1</v>
      </c>
      <c r="C24" s="5" t="s">
        <v>74</v>
      </c>
      <c r="D24" s="1">
        <v>8</v>
      </c>
      <c r="E24" t="s">
        <v>88</v>
      </c>
      <c r="F24" s="8"/>
      <c r="G24" s="2"/>
    </row>
    <row r="25" spans="1:7">
      <c r="A25" t="s">
        <v>89</v>
      </c>
      <c r="B25">
        <v>4</v>
      </c>
      <c r="D25" s="1"/>
      <c r="E25" t="s">
        <v>90</v>
      </c>
      <c r="F25" s="8"/>
      <c r="G25" s="2"/>
    </row>
    <row r="26" spans="1:7">
      <c r="A26" t="s">
        <v>91</v>
      </c>
      <c r="B26">
        <v>2</v>
      </c>
      <c r="D26" s="1"/>
      <c r="E26" t="s">
        <v>2</v>
      </c>
      <c r="F26" s="8"/>
      <c r="G26" s="2"/>
    </row>
    <row r="28" spans="1:7">
      <c r="A28" t="s">
        <v>92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A17E5-F674-4E7C-8B61-F3D1E0AB317E}">
  <dimension ref="A1:W56"/>
  <sheetViews>
    <sheetView topLeftCell="A30" zoomScale="90" zoomScaleNormal="90" workbookViewId="0">
      <pane xSplit="1" topLeftCell="F1" activePane="topRight" state="frozen"/>
      <selection pane="topRight" activeCell="W41" sqref="W41"/>
      <selection activeCell="A17" sqref="A17"/>
    </sheetView>
  </sheetViews>
  <sheetFormatPr defaultRowHeight="14.45"/>
  <cols>
    <col min="1" max="1" width="39.28515625" customWidth="1"/>
    <col min="2" max="2" width="9.42578125" customWidth="1"/>
    <col min="3" max="3" width="9" bestFit="1" customWidth="1"/>
    <col min="4" max="4" width="8.85546875" customWidth="1"/>
    <col min="5" max="6" width="9" bestFit="1" customWidth="1"/>
    <col min="7" max="7" width="8.7109375" bestFit="1" customWidth="1"/>
    <col min="8" max="8" width="9" bestFit="1" customWidth="1"/>
    <col min="9" max="9" width="9.5703125" bestFit="1" customWidth="1"/>
    <col min="10" max="10" width="9" bestFit="1" customWidth="1"/>
    <col min="11" max="11" width="9.140625" customWidth="1"/>
    <col min="12" max="15" width="9" bestFit="1" customWidth="1"/>
    <col min="16" max="16" width="10" bestFit="1" customWidth="1"/>
    <col min="17" max="17" width="8.85546875" customWidth="1"/>
    <col min="18" max="18" width="9.85546875" customWidth="1"/>
    <col min="19" max="19" width="10.140625" customWidth="1"/>
    <col min="20" max="20" width="10" customWidth="1"/>
    <col min="21" max="21" width="12.85546875" customWidth="1"/>
    <col min="22" max="22" width="10" customWidth="1"/>
    <col min="23" max="23" width="10.5703125" customWidth="1"/>
  </cols>
  <sheetData>
    <row r="1" spans="1:20">
      <c r="A1" s="65" t="s">
        <v>93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</row>
    <row r="2" spans="1:20" s="10" customFormat="1" ht="43.15">
      <c r="A2" s="9" t="s">
        <v>94</v>
      </c>
      <c r="B2" s="9" t="s">
        <v>95</v>
      </c>
      <c r="C2" s="9" t="s">
        <v>96</v>
      </c>
      <c r="D2" s="9" t="s">
        <v>97</v>
      </c>
      <c r="E2" s="9" t="s">
        <v>98</v>
      </c>
      <c r="F2" s="9" t="s">
        <v>99</v>
      </c>
      <c r="G2" s="9" t="s">
        <v>100</v>
      </c>
      <c r="H2" s="9" t="s">
        <v>67</v>
      </c>
      <c r="I2" s="9" t="s">
        <v>101</v>
      </c>
      <c r="J2" s="9" t="s">
        <v>71</v>
      </c>
      <c r="K2" s="9" t="s">
        <v>72</v>
      </c>
      <c r="L2" s="9" t="s">
        <v>102</v>
      </c>
      <c r="M2" s="9" t="s">
        <v>75</v>
      </c>
      <c r="N2" s="9" t="s">
        <v>73</v>
      </c>
      <c r="O2" s="9" t="s">
        <v>103</v>
      </c>
      <c r="P2" s="9" t="s">
        <v>104</v>
      </c>
      <c r="Q2" s="9" t="s">
        <v>105</v>
      </c>
      <c r="R2" s="9" t="s">
        <v>106</v>
      </c>
      <c r="S2" s="9" t="s">
        <v>107</v>
      </c>
      <c r="T2" s="9" t="s">
        <v>108</v>
      </c>
    </row>
    <row r="3" spans="1:20">
      <c r="A3" t="s">
        <v>109</v>
      </c>
      <c r="B3" s="3">
        <v>1.3</v>
      </c>
      <c r="C3" s="3">
        <v>15</v>
      </c>
      <c r="D3" s="3">
        <v>3</v>
      </c>
      <c r="E3" s="3">
        <v>63</v>
      </c>
      <c r="F3" s="3">
        <v>100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180</v>
      </c>
      <c r="Q3" s="3">
        <f>B3+C3+D3+E3+F3+G3+H3+I3+J3+K3+L3+M3+N3+O3</f>
        <v>182.3</v>
      </c>
      <c r="R3" s="3">
        <v>26.9</v>
      </c>
      <c r="S3" s="3">
        <v>1</v>
      </c>
      <c r="T3" s="7">
        <f>R3/S3</f>
        <v>26.9</v>
      </c>
    </row>
    <row r="4" spans="1:20">
      <c r="A4" t="s">
        <v>110</v>
      </c>
      <c r="B4" s="3">
        <v>1.3</v>
      </c>
      <c r="C4" s="3">
        <v>22</v>
      </c>
      <c r="D4" s="3">
        <v>3</v>
      </c>
      <c r="E4" s="3">
        <v>68</v>
      </c>
      <c r="F4" s="3">
        <v>74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159</v>
      </c>
      <c r="Q4" s="3">
        <f t="shared" ref="Q4:Q18" si="0">B4+C4+D4+E4+F4+G4+H4+I4+J4+K4+L4+M4+N4+O4</f>
        <v>168.3</v>
      </c>
      <c r="R4" s="3">
        <v>26.9</v>
      </c>
      <c r="S4" s="3">
        <v>1</v>
      </c>
      <c r="T4" s="7">
        <f t="shared" ref="T4:T27" si="1">R4/S4</f>
        <v>26.9</v>
      </c>
    </row>
    <row r="5" spans="1:20">
      <c r="A5" t="s">
        <v>111</v>
      </c>
      <c r="B5" s="3">
        <v>1.3</v>
      </c>
      <c r="C5" s="3">
        <v>0</v>
      </c>
      <c r="D5" s="3">
        <v>0</v>
      </c>
      <c r="E5" s="3">
        <v>69</v>
      </c>
      <c r="F5" s="3">
        <v>100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181</v>
      </c>
      <c r="Q5" s="3">
        <f t="shared" si="0"/>
        <v>170.3</v>
      </c>
      <c r="R5" s="3">
        <v>24.9</v>
      </c>
      <c r="S5" s="3">
        <v>1</v>
      </c>
      <c r="T5" s="7">
        <f t="shared" si="1"/>
        <v>24.9</v>
      </c>
    </row>
    <row r="6" spans="1:20">
      <c r="A6" t="s">
        <v>112</v>
      </c>
      <c r="B6" s="3">
        <v>1.3</v>
      </c>
      <c r="C6" s="3">
        <v>0</v>
      </c>
      <c r="D6" s="3">
        <v>0</v>
      </c>
      <c r="E6" s="3">
        <v>143.69999999999999</v>
      </c>
      <c r="F6" s="3">
        <v>47</v>
      </c>
      <c r="G6" s="3">
        <v>1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190</v>
      </c>
      <c r="Q6" s="3">
        <f t="shared" si="0"/>
        <v>193</v>
      </c>
      <c r="R6" s="3">
        <v>24.9</v>
      </c>
      <c r="S6" s="3">
        <v>8</v>
      </c>
      <c r="T6" s="7">
        <f t="shared" si="1"/>
        <v>3.1124999999999998</v>
      </c>
    </row>
    <row r="7" spans="1:20">
      <c r="A7" t="s">
        <v>113</v>
      </c>
      <c r="B7" s="3">
        <v>1.3</v>
      </c>
      <c r="C7" s="3">
        <v>15</v>
      </c>
      <c r="D7" s="3">
        <v>3</v>
      </c>
      <c r="E7" s="3">
        <v>143.69999999999999</v>
      </c>
      <c r="F7" s="3">
        <v>47</v>
      </c>
      <c r="G7" s="3">
        <v>1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208</v>
      </c>
      <c r="Q7" s="3">
        <f t="shared" si="0"/>
        <v>211</v>
      </c>
      <c r="R7" s="3">
        <v>25.9</v>
      </c>
      <c r="S7" s="3">
        <v>8</v>
      </c>
      <c r="T7" s="7">
        <f t="shared" si="1"/>
        <v>3.2374999999999998</v>
      </c>
    </row>
    <row r="8" spans="1:20" s="37" customFormat="1">
      <c r="A8" s="37" t="s">
        <v>114</v>
      </c>
      <c r="B8" s="38">
        <v>1.3</v>
      </c>
      <c r="C8" s="38">
        <v>20</v>
      </c>
      <c r="D8" s="38">
        <v>3</v>
      </c>
      <c r="E8" s="38">
        <f>150-1.3</f>
        <v>148.69999999999999</v>
      </c>
      <c r="F8" s="38">
        <v>46</v>
      </c>
      <c r="G8" s="38">
        <v>1</v>
      </c>
      <c r="H8" s="38">
        <v>0</v>
      </c>
      <c r="I8" s="38">
        <v>0</v>
      </c>
      <c r="J8" s="38">
        <v>0</v>
      </c>
      <c r="K8" s="38">
        <v>0</v>
      </c>
      <c r="L8" s="38">
        <v>0</v>
      </c>
      <c r="M8" s="38">
        <v>0</v>
      </c>
      <c r="N8" s="38">
        <v>0</v>
      </c>
      <c r="O8" s="38">
        <v>0</v>
      </c>
      <c r="P8" s="38">
        <v>221</v>
      </c>
      <c r="Q8" s="38">
        <f t="shared" si="0"/>
        <v>220</v>
      </c>
      <c r="R8" s="38">
        <v>24.9</v>
      </c>
      <c r="S8" s="38">
        <v>8</v>
      </c>
      <c r="T8" s="39">
        <f t="shared" si="1"/>
        <v>3.1124999999999998</v>
      </c>
    </row>
    <row r="9" spans="1:20">
      <c r="A9" t="s">
        <v>115</v>
      </c>
      <c r="B9" s="3">
        <v>1.3</v>
      </c>
      <c r="C9" s="3">
        <v>0</v>
      </c>
      <c r="D9" s="3">
        <v>0</v>
      </c>
      <c r="E9" s="3">
        <v>104.7</v>
      </c>
      <c r="F9" s="3">
        <v>34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141</v>
      </c>
      <c r="Q9" s="3">
        <f t="shared" si="0"/>
        <v>140</v>
      </c>
      <c r="R9" s="3">
        <v>19.899999999999999</v>
      </c>
      <c r="S9" s="3">
        <v>8</v>
      </c>
      <c r="T9" s="7">
        <f t="shared" si="1"/>
        <v>2.4874999999999998</v>
      </c>
    </row>
    <row r="10" spans="1:20">
      <c r="A10" t="s">
        <v>116</v>
      </c>
      <c r="B10" s="3">
        <v>0</v>
      </c>
      <c r="C10" s="3">
        <v>0</v>
      </c>
      <c r="D10" s="3">
        <v>0</v>
      </c>
      <c r="E10" s="3">
        <v>23</v>
      </c>
      <c r="F10" s="3">
        <v>7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30</v>
      </c>
      <c r="Q10" s="3">
        <f t="shared" si="0"/>
        <v>30</v>
      </c>
      <c r="R10" s="3">
        <v>32.9</v>
      </c>
      <c r="S10" s="3">
        <v>9</v>
      </c>
      <c r="T10" s="7">
        <f t="shared" si="1"/>
        <v>3.6555555555555554</v>
      </c>
    </row>
    <row r="11" spans="1:20">
      <c r="A11" t="s">
        <v>117</v>
      </c>
      <c r="B11" s="3">
        <v>0</v>
      </c>
      <c r="C11" s="3">
        <v>1</v>
      </c>
      <c r="D11" s="3">
        <v>0.5</v>
      </c>
      <c r="E11" s="3">
        <v>14</v>
      </c>
      <c r="F11" s="3">
        <v>14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28</v>
      </c>
      <c r="Q11" s="3">
        <f t="shared" si="0"/>
        <v>29.5</v>
      </c>
      <c r="R11" s="3">
        <v>29.9</v>
      </c>
      <c r="S11" s="3">
        <v>8</v>
      </c>
      <c r="T11" s="7">
        <f t="shared" si="1"/>
        <v>3.7374999999999998</v>
      </c>
    </row>
    <row r="12" spans="1:20">
      <c r="A12" t="s">
        <v>118</v>
      </c>
      <c r="B12" s="3">
        <v>0</v>
      </c>
      <c r="C12" s="3">
        <v>4</v>
      </c>
      <c r="D12" s="3">
        <v>0.5</v>
      </c>
      <c r="E12" s="3">
        <v>14</v>
      </c>
      <c r="F12" s="3">
        <v>14</v>
      </c>
      <c r="G12" s="3">
        <v>0</v>
      </c>
      <c r="H12" s="3">
        <v>0</v>
      </c>
      <c r="I12" s="3">
        <v>0.5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28</v>
      </c>
      <c r="Q12" s="3">
        <f t="shared" si="0"/>
        <v>33</v>
      </c>
      <c r="R12" s="3">
        <v>29.9</v>
      </c>
      <c r="S12" s="3">
        <v>8</v>
      </c>
      <c r="T12" s="7">
        <f t="shared" si="1"/>
        <v>3.7374999999999998</v>
      </c>
    </row>
    <row r="13" spans="1:20">
      <c r="A13" t="s">
        <v>119</v>
      </c>
      <c r="B13" s="3">
        <v>0</v>
      </c>
      <c r="C13" s="3">
        <v>1</v>
      </c>
      <c r="D13" s="3">
        <v>0.5</v>
      </c>
      <c r="E13" s="3">
        <v>14</v>
      </c>
      <c r="F13" s="3">
        <v>14</v>
      </c>
      <c r="G13" s="3">
        <v>0</v>
      </c>
      <c r="H13" s="3">
        <v>1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28</v>
      </c>
      <c r="Q13" s="3">
        <f t="shared" si="0"/>
        <v>30.5</v>
      </c>
      <c r="R13" s="3">
        <v>29.9</v>
      </c>
      <c r="S13" s="3">
        <v>8</v>
      </c>
      <c r="T13" s="7">
        <f t="shared" si="1"/>
        <v>3.7374999999999998</v>
      </c>
    </row>
    <row r="14" spans="1:20">
      <c r="A14" t="s">
        <v>120</v>
      </c>
      <c r="B14" s="3">
        <v>0</v>
      </c>
      <c r="C14" s="3">
        <v>0</v>
      </c>
      <c r="D14" s="3">
        <v>0</v>
      </c>
      <c r="E14" s="3">
        <v>0</v>
      </c>
      <c r="F14" s="3">
        <v>14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14</v>
      </c>
      <c r="Q14" s="3">
        <f t="shared" si="0"/>
        <v>14</v>
      </c>
      <c r="R14" s="3">
        <v>35.9</v>
      </c>
      <c r="S14" s="3">
        <v>10</v>
      </c>
      <c r="T14" s="7">
        <f t="shared" si="1"/>
        <v>3.59</v>
      </c>
    </row>
    <row r="15" spans="1:20">
      <c r="A15" t="s">
        <v>71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200</v>
      </c>
      <c r="K15" s="3">
        <v>10</v>
      </c>
      <c r="L15" s="3">
        <v>20</v>
      </c>
      <c r="M15" s="3">
        <v>0</v>
      </c>
      <c r="N15" s="3">
        <v>0</v>
      </c>
      <c r="O15" s="3">
        <v>0</v>
      </c>
      <c r="P15" s="3">
        <v>230</v>
      </c>
      <c r="Q15" s="3">
        <f t="shared" si="0"/>
        <v>230</v>
      </c>
      <c r="R15" s="3">
        <v>21.9</v>
      </c>
      <c r="S15" s="3">
        <v>1</v>
      </c>
      <c r="T15" s="7">
        <f t="shared" si="1"/>
        <v>21.9</v>
      </c>
    </row>
    <row r="16" spans="1:20">
      <c r="A16" t="s">
        <v>121</v>
      </c>
      <c r="B16" s="3">
        <v>1.3</v>
      </c>
      <c r="C16" s="3">
        <v>15</v>
      </c>
      <c r="D16" s="3">
        <v>3</v>
      </c>
      <c r="E16" s="3">
        <v>63</v>
      </c>
      <c r="F16" s="3">
        <v>100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>
        <v>2.33</v>
      </c>
      <c r="N16">
        <v>2.33</v>
      </c>
      <c r="O16">
        <v>2.33</v>
      </c>
      <c r="P16" s="3">
        <v>187</v>
      </c>
      <c r="Q16" s="3">
        <f t="shared" si="0"/>
        <v>189.29000000000005</v>
      </c>
      <c r="R16" s="3">
        <v>28.9</v>
      </c>
      <c r="S16" s="3">
        <v>1</v>
      </c>
      <c r="T16" s="7">
        <f t="shared" si="1"/>
        <v>28.9</v>
      </c>
    </row>
    <row r="17" spans="1:23">
      <c r="A17" t="s">
        <v>122</v>
      </c>
      <c r="B17" s="3">
        <v>1.3</v>
      </c>
      <c r="C17" s="3">
        <v>22</v>
      </c>
      <c r="D17" s="3">
        <v>3</v>
      </c>
      <c r="E17" s="3">
        <v>68</v>
      </c>
      <c r="F17" s="3">
        <v>74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>
        <v>2.33</v>
      </c>
      <c r="N17">
        <v>2.33</v>
      </c>
      <c r="O17">
        <v>2.33</v>
      </c>
      <c r="P17" s="3">
        <v>166</v>
      </c>
      <c r="Q17" s="3">
        <f t="shared" si="0"/>
        <v>175.29000000000005</v>
      </c>
      <c r="R17" s="3">
        <v>28.9</v>
      </c>
      <c r="S17" s="3">
        <v>1</v>
      </c>
      <c r="T17" s="7">
        <f t="shared" si="1"/>
        <v>28.9</v>
      </c>
    </row>
    <row r="18" spans="1:23">
      <c r="A18" t="s">
        <v>123</v>
      </c>
      <c r="B18" s="3">
        <v>1.3</v>
      </c>
      <c r="C18" s="3">
        <v>0</v>
      </c>
      <c r="D18" s="3">
        <v>0</v>
      </c>
      <c r="E18" s="3">
        <v>104.7</v>
      </c>
      <c r="F18" s="3">
        <v>34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>
        <v>2.33</v>
      </c>
      <c r="N18">
        <v>2.33</v>
      </c>
      <c r="O18">
        <v>2.33</v>
      </c>
      <c r="P18" s="3">
        <v>148</v>
      </c>
      <c r="Q18" s="3">
        <f t="shared" si="0"/>
        <v>146.99000000000004</v>
      </c>
      <c r="R18" s="3">
        <v>24.9</v>
      </c>
      <c r="S18" s="3">
        <v>8</v>
      </c>
      <c r="T18" s="7">
        <f t="shared" si="1"/>
        <v>3.1124999999999998</v>
      </c>
    </row>
    <row r="19" spans="1:23">
      <c r="A19" t="s">
        <v>124</v>
      </c>
      <c r="B19" s="3">
        <v>1.3</v>
      </c>
      <c r="C19" s="3">
        <v>20</v>
      </c>
      <c r="D19" s="3">
        <v>3</v>
      </c>
      <c r="E19" s="3">
        <f>150-1.3</f>
        <v>148.69999999999999</v>
      </c>
      <c r="F19" s="3">
        <v>46</v>
      </c>
      <c r="G19" s="3">
        <v>1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221</v>
      </c>
      <c r="Q19" s="3">
        <f t="shared" ref="Q19" si="2">B19+C19+D19+E19+F19+G19+H19+I19+J19+K19+L19+M19+N19+O19</f>
        <v>220</v>
      </c>
      <c r="R19" s="3">
        <v>24.9</v>
      </c>
      <c r="S19" s="3">
        <v>8</v>
      </c>
      <c r="T19" s="7">
        <f t="shared" ref="T19:T20" si="3">R19/S19</f>
        <v>3.1124999999999998</v>
      </c>
    </row>
    <row r="20" spans="1:23">
      <c r="A20" s="37" t="s">
        <v>125</v>
      </c>
      <c r="B20" s="38">
        <v>1.3</v>
      </c>
      <c r="C20" s="38">
        <v>20</v>
      </c>
      <c r="D20" s="38">
        <v>3</v>
      </c>
      <c r="E20" s="38">
        <f>150-1.3</f>
        <v>148.69999999999999</v>
      </c>
      <c r="F20" s="38">
        <v>46</v>
      </c>
      <c r="G20" s="38">
        <v>1</v>
      </c>
      <c r="H20" s="38">
        <v>0</v>
      </c>
      <c r="I20" s="38">
        <v>0</v>
      </c>
      <c r="J20" s="38">
        <v>0</v>
      </c>
      <c r="K20" s="38">
        <v>0</v>
      </c>
      <c r="L20" s="38">
        <v>0</v>
      </c>
      <c r="M20" s="38">
        <v>0</v>
      </c>
      <c r="N20" s="38">
        <v>0</v>
      </c>
      <c r="O20" s="38">
        <v>0</v>
      </c>
      <c r="P20" s="38">
        <v>221</v>
      </c>
      <c r="Q20" s="38">
        <f t="shared" ref="Q20" si="4">B20+C20+D20+E20+F20+G20+H20+I20+J20+K20+L20+M20+N20+O20</f>
        <v>220</v>
      </c>
      <c r="R20" s="38">
        <v>24.9</v>
      </c>
      <c r="S20" s="38">
        <v>8</v>
      </c>
      <c r="T20" s="39">
        <f t="shared" si="3"/>
        <v>3.1124999999999998</v>
      </c>
    </row>
    <row r="21" spans="1:23">
      <c r="A21" t="s">
        <v>126</v>
      </c>
      <c r="B21" s="3">
        <v>0</v>
      </c>
      <c r="C21" s="3">
        <v>1</v>
      </c>
      <c r="D21" s="3">
        <v>0.5</v>
      </c>
      <c r="E21" s="3">
        <v>14</v>
      </c>
      <c r="F21" s="3">
        <v>14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28</v>
      </c>
      <c r="Q21" s="3">
        <f t="shared" ref="Q21:Q27" si="5">B21+C21+D21+E21+F21+G21+H21+I21+J21+K21+L21+M21+N21+O21</f>
        <v>29.5</v>
      </c>
      <c r="R21" s="3">
        <v>29.9</v>
      </c>
      <c r="S21" s="3">
        <v>8</v>
      </c>
      <c r="T21" s="7">
        <f t="shared" si="1"/>
        <v>3.7374999999999998</v>
      </c>
    </row>
    <row r="22" spans="1:23">
      <c r="A22" t="s">
        <v>127</v>
      </c>
      <c r="B22" s="3">
        <v>0</v>
      </c>
      <c r="C22" s="3">
        <v>0</v>
      </c>
      <c r="D22" s="3">
        <v>0</v>
      </c>
      <c r="E22" s="3">
        <v>23</v>
      </c>
      <c r="F22" s="3">
        <v>7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30</v>
      </c>
      <c r="Q22" s="3">
        <f t="shared" si="5"/>
        <v>30</v>
      </c>
      <c r="R22" s="3">
        <v>32.9</v>
      </c>
      <c r="S22" s="3">
        <v>9</v>
      </c>
      <c r="T22" s="7">
        <f t="shared" si="1"/>
        <v>3.6555555555555554</v>
      </c>
    </row>
    <row r="23" spans="1:23">
      <c r="A23" t="s">
        <v>128</v>
      </c>
      <c r="B23" s="3">
        <v>1.3</v>
      </c>
      <c r="C23" s="3">
        <v>15</v>
      </c>
      <c r="D23" s="3">
        <v>3</v>
      </c>
      <c r="E23" s="3">
        <v>143.69999999999999</v>
      </c>
      <c r="F23" s="3">
        <v>47</v>
      </c>
      <c r="G23" s="3">
        <v>1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208</v>
      </c>
      <c r="Q23" s="3">
        <f t="shared" si="5"/>
        <v>211</v>
      </c>
      <c r="R23" s="3">
        <v>25.9</v>
      </c>
      <c r="S23" s="3">
        <v>8</v>
      </c>
      <c r="T23" s="7">
        <f t="shared" si="1"/>
        <v>3.2374999999999998</v>
      </c>
    </row>
    <row r="24" spans="1:23">
      <c r="A24" t="s">
        <v>129</v>
      </c>
      <c r="B24" s="3">
        <v>0</v>
      </c>
      <c r="C24" s="3">
        <v>0</v>
      </c>
      <c r="D24" s="3">
        <v>0</v>
      </c>
      <c r="E24" s="3">
        <v>23</v>
      </c>
      <c r="F24" s="3">
        <v>9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30</v>
      </c>
      <c r="Q24" s="3">
        <f t="shared" si="5"/>
        <v>32</v>
      </c>
      <c r="R24" s="3">
        <v>32.9</v>
      </c>
      <c r="S24" s="3">
        <v>9</v>
      </c>
      <c r="T24" s="7">
        <f t="shared" si="1"/>
        <v>3.6555555555555554</v>
      </c>
    </row>
    <row r="25" spans="1:23">
      <c r="A25" t="s">
        <v>130</v>
      </c>
      <c r="B25" s="3">
        <v>1.3</v>
      </c>
      <c r="C25" s="3">
        <v>0</v>
      </c>
      <c r="D25" s="3">
        <v>0</v>
      </c>
      <c r="E25" s="3">
        <v>69</v>
      </c>
      <c r="F25" s="3">
        <v>100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181</v>
      </c>
      <c r="Q25" s="3">
        <f t="shared" si="5"/>
        <v>170.3</v>
      </c>
      <c r="R25" s="3">
        <v>24.9</v>
      </c>
      <c r="S25" s="3">
        <v>1</v>
      </c>
      <c r="T25" s="7">
        <f t="shared" si="1"/>
        <v>24.9</v>
      </c>
    </row>
    <row r="26" spans="1:23">
      <c r="A26" t="s">
        <v>131</v>
      </c>
      <c r="B26" s="3">
        <v>1.3</v>
      </c>
      <c r="C26" s="3">
        <v>0</v>
      </c>
      <c r="D26" s="3">
        <v>0</v>
      </c>
      <c r="E26" s="3">
        <v>143.69999999999999</v>
      </c>
      <c r="F26" s="3">
        <v>47</v>
      </c>
      <c r="G26" s="3">
        <v>1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190</v>
      </c>
      <c r="Q26" s="3">
        <f t="shared" si="5"/>
        <v>193</v>
      </c>
      <c r="R26" s="3">
        <v>24.9</v>
      </c>
      <c r="S26" s="3">
        <v>8</v>
      </c>
      <c r="T26" s="7">
        <f t="shared" si="1"/>
        <v>3.1124999999999998</v>
      </c>
    </row>
    <row r="27" spans="1:23">
      <c r="A27" t="s">
        <v>132</v>
      </c>
      <c r="B27" s="3">
        <v>1.3</v>
      </c>
      <c r="C27" s="3">
        <v>0</v>
      </c>
      <c r="D27" s="3">
        <v>0</v>
      </c>
      <c r="E27" s="3">
        <v>143.69999999999999</v>
      </c>
      <c r="F27" s="3">
        <v>47</v>
      </c>
      <c r="G27" s="3">
        <v>1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190</v>
      </c>
      <c r="Q27" s="3">
        <f t="shared" si="5"/>
        <v>193</v>
      </c>
      <c r="R27" s="3">
        <v>24.9</v>
      </c>
      <c r="S27" s="3">
        <v>8</v>
      </c>
      <c r="T27" s="7">
        <f t="shared" si="1"/>
        <v>3.1124999999999998</v>
      </c>
    </row>
    <row r="28" spans="1:23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P28" s="3"/>
      <c r="Q28" s="3"/>
      <c r="R28" s="3"/>
      <c r="S28" s="3"/>
      <c r="T28" s="7"/>
    </row>
    <row r="29" spans="1:23" ht="7.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</row>
    <row r="30" spans="1:23">
      <c r="A30" s="65" t="s">
        <v>133</v>
      </c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</row>
    <row r="31" spans="1:23" ht="32.25" customHeight="1">
      <c r="A31" s="9" t="s">
        <v>94</v>
      </c>
      <c r="B31" s="9" t="s">
        <v>95</v>
      </c>
      <c r="C31" s="9" t="s">
        <v>96</v>
      </c>
      <c r="D31" s="9" t="s">
        <v>97</v>
      </c>
      <c r="E31" s="9" t="s">
        <v>98</v>
      </c>
      <c r="F31" s="9" t="s">
        <v>99</v>
      </c>
      <c r="G31" s="9" t="s">
        <v>100</v>
      </c>
      <c r="H31" s="9" t="s">
        <v>67</v>
      </c>
      <c r="I31" s="9" t="s">
        <v>101</v>
      </c>
      <c r="J31" s="9" t="s">
        <v>71</v>
      </c>
      <c r="K31" s="9" t="s">
        <v>72</v>
      </c>
      <c r="L31" s="9" t="s">
        <v>102</v>
      </c>
      <c r="M31" s="9" t="s">
        <v>75</v>
      </c>
      <c r="N31" s="9" t="s">
        <v>73</v>
      </c>
      <c r="O31" s="9" t="s">
        <v>103</v>
      </c>
      <c r="P31" s="9" t="s">
        <v>107</v>
      </c>
      <c r="Q31" s="25" t="s">
        <v>134</v>
      </c>
      <c r="R31" s="27" t="s">
        <v>135</v>
      </c>
      <c r="S31" s="29" t="s">
        <v>136</v>
      </c>
      <c r="T31" s="23" t="s">
        <v>137</v>
      </c>
      <c r="U31" s="24" t="s">
        <v>138</v>
      </c>
      <c r="V31" s="33" t="s">
        <v>139</v>
      </c>
      <c r="W31" s="34" t="s">
        <v>140</v>
      </c>
    </row>
    <row r="32" spans="1:23">
      <c r="A32" t="s">
        <v>109</v>
      </c>
      <c r="B32" s="12">
        <f>$B3*Insumos!$G$4</f>
        <v>0.54899999999999993</v>
      </c>
      <c r="C32" s="12">
        <f>C3*Insumos!$G$6</f>
        <v>0.54900000000000004</v>
      </c>
      <c r="D32" s="12">
        <f>D3*Insumos!$G$5</f>
        <v>0.18</v>
      </c>
      <c r="E32" s="12">
        <f>E3*Insumos!$G$2</f>
        <v>0.5544</v>
      </c>
      <c r="F32" s="12">
        <f>F3*Insumos!$G$3</f>
        <v>4.5</v>
      </c>
      <c r="G32" s="12">
        <f>G3*Insumos!$G$8</f>
        <v>0</v>
      </c>
      <c r="H32" s="12">
        <f>H3*Insumos!$G$11</f>
        <v>0</v>
      </c>
      <c r="I32" s="12">
        <f>I3*Insumos!$G$19</f>
        <v>0</v>
      </c>
      <c r="J32" s="12">
        <f>J3*Insumos!$G$13</f>
        <v>0</v>
      </c>
      <c r="K32" s="12">
        <f>K3*Insumos!$G$14</f>
        <v>0</v>
      </c>
      <c r="L32" s="12">
        <f>L3*Insumos!$G$20</f>
        <v>0</v>
      </c>
      <c r="M32" s="12">
        <f>M3*Insumos!$G$16</f>
        <v>0</v>
      </c>
      <c r="N32" s="12">
        <f>N3*Insumos!$G$15</f>
        <v>0</v>
      </c>
      <c r="O32" s="12">
        <f>O3*Insumos!$G$18</f>
        <v>0</v>
      </c>
      <c r="P32" s="3">
        <v>1</v>
      </c>
      <c r="Q32" s="26">
        <f t="shared" ref="Q32:Q56" si="6">B32+C32+D32+E32+F32+G32+H32+I32+J32+K32+L32+M32+N32+O32</f>
        <v>6.3323999999999998</v>
      </c>
      <c r="R32" s="28">
        <f t="shared" ref="R32:R34" si="7">Q32*P32</f>
        <v>6.3323999999999998</v>
      </c>
      <c r="S32" s="30">
        <f t="shared" ref="S32:S38" si="8">Q32/P32</f>
        <v>6.3323999999999998</v>
      </c>
      <c r="T32" s="31">
        <v>26.9</v>
      </c>
      <c r="U32" s="32">
        <f t="shared" ref="U32:U56" si="9">T32/P32</f>
        <v>26.9</v>
      </c>
      <c r="V32" s="36">
        <f t="shared" ref="V32:V38" si="10">T32-Q32</f>
        <v>20.567599999999999</v>
      </c>
      <c r="W32" s="35">
        <f t="shared" ref="W32:W56" si="11">V32/T32</f>
        <v>0.76459479553903342</v>
      </c>
    </row>
    <row r="33" spans="1:23">
      <c r="A33" t="s">
        <v>110</v>
      </c>
      <c r="B33" s="12">
        <f>$B4*Insumos!$G$4</f>
        <v>0.54899999999999993</v>
      </c>
      <c r="C33" s="12">
        <f>C4*Insumos!$G$6</f>
        <v>0.80520000000000003</v>
      </c>
      <c r="D33" s="12">
        <f>D4*Insumos!$G$5</f>
        <v>0.18</v>
      </c>
      <c r="E33" s="12">
        <f>E4*Insumos!$G$2</f>
        <v>0.59840000000000004</v>
      </c>
      <c r="F33" s="12">
        <f>F4*Insumos!$G$3</f>
        <v>3.33</v>
      </c>
      <c r="G33" s="12">
        <f>G4*Insumos!$G$8</f>
        <v>0</v>
      </c>
      <c r="H33" s="12">
        <f>H4*Insumos!$G$11</f>
        <v>0</v>
      </c>
      <c r="I33" s="12">
        <f>I4*Insumos!$G$19</f>
        <v>0</v>
      </c>
      <c r="J33" s="12">
        <f>J4*Insumos!$G$13</f>
        <v>0</v>
      </c>
      <c r="K33" s="12">
        <f>K4*Insumos!$G$14</f>
        <v>0</v>
      </c>
      <c r="L33" s="12">
        <f>L4*Insumos!$G$20</f>
        <v>0</v>
      </c>
      <c r="M33" s="12">
        <f>M4*Insumos!$G$16</f>
        <v>0</v>
      </c>
      <c r="N33" s="12">
        <f>N4*Insumos!$G$15</f>
        <v>0</v>
      </c>
      <c r="O33" s="12">
        <f>O4*Insumos!$G$18</f>
        <v>0</v>
      </c>
      <c r="P33" s="3">
        <v>1</v>
      </c>
      <c r="Q33" s="26">
        <f t="shared" si="6"/>
        <v>5.4626000000000001</v>
      </c>
      <c r="R33" s="28">
        <f t="shared" si="7"/>
        <v>5.4626000000000001</v>
      </c>
      <c r="S33" s="30">
        <f t="shared" si="8"/>
        <v>5.4626000000000001</v>
      </c>
      <c r="T33" s="31">
        <v>26.9</v>
      </c>
      <c r="U33" s="32">
        <f t="shared" si="9"/>
        <v>26.9</v>
      </c>
      <c r="V33" s="36">
        <f t="shared" si="10"/>
        <v>21.437399999999997</v>
      </c>
      <c r="W33" s="35">
        <f t="shared" si="11"/>
        <v>0.79692936802973968</v>
      </c>
    </row>
    <row r="34" spans="1:23">
      <c r="A34" t="s">
        <v>111</v>
      </c>
      <c r="B34" s="12">
        <f>$B5*Insumos!$G$4</f>
        <v>0.54899999999999993</v>
      </c>
      <c r="C34" s="12">
        <f>C5*Insumos!$G$6</f>
        <v>0</v>
      </c>
      <c r="D34" s="12">
        <f>D5*Insumos!$G$5</f>
        <v>0</v>
      </c>
      <c r="E34" s="12">
        <f>E5*Insumos!$G$2</f>
        <v>0.60720000000000007</v>
      </c>
      <c r="F34" s="12">
        <f>F5*Insumos!$G$3</f>
        <v>4.5</v>
      </c>
      <c r="G34" s="12">
        <f>G5*Insumos!$G$8</f>
        <v>0</v>
      </c>
      <c r="H34" s="12">
        <f>H5*Insumos!$G$11</f>
        <v>0</v>
      </c>
      <c r="I34" s="12">
        <f>I5*Insumos!$G$19</f>
        <v>0</v>
      </c>
      <c r="J34" s="12">
        <f>J5*Insumos!$G$13</f>
        <v>0</v>
      </c>
      <c r="K34" s="12">
        <f>K5*Insumos!$G$14</f>
        <v>0</v>
      </c>
      <c r="L34" s="12">
        <f>L5*Insumos!$G$20</f>
        <v>0</v>
      </c>
      <c r="M34" s="12">
        <f>M5*Insumos!$G$16</f>
        <v>0</v>
      </c>
      <c r="N34" s="12">
        <f>N5*Insumos!$G$15</f>
        <v>0</v>
      </c>
      <c r="O34" s="12">
        <f>O5*Insumos!$G$18</f>
        <v>0</v>
      </c>
      <c r="P34" s="3">
        <v>1</v>
      </c>
      <c r="Q34" s="26">
        <f t="shared" si="6"/>
        <v>5.6562000000000001</v>
      </c>
      <c r="R34" s="28">
        <f t="shared" si="7"/>
        <v>5.6562000000000001</v>
      </c>
      <c r="S34" s="30">
        <f t="shared" si="8"/>
        <v>5.6562000000000001</v>
      </c>
      <c r="T34" s="31">
        <v>24.9</v>
      </c>
      <c r="U34" s="32">
        <f t="shared" si="9"/>
        <v>24.9</v>
      </c>
      <c r="V34" s="36">
        <f t="shared" si="10"/>
        <v>19.2438</v>
      </c>
      <c r="W34" s="35">
        <f t="shared" si="11"/>
        <v>0.77284337349397592</v>
      </c>
    </row>
    <row r="35" spans="1:23">
      <c r="A35" t="s">
        <v>112</v>
      </c>
      <c r="B35" s="12">
        <f>$B6*Insumos!$G$4</f>
        <v>0.54899999999999993</v>
      </c>
      <c r="C35" s="12">
        <f>C6*Insumos!$G$6</f>
        <v>0</v>
      </c>
      <c r="D35" s="12">
        <f>D6*Insumos!$G$5</f>
        <v>0</v>
      </c>
      <c r="E35" s="12">
        <f>E6*Insumos!$G$2</f>
        <v>1.2645599999999999</v>
      </c>
      <c r="F35" s="12">
        <f>F6*Insumos!$G$3</f>
        <v>2.1149999999999998</v>
      </c>
      <c r="G35" s="12">
        <f>G6*Insumos!$G$8</f>
        <v>5.5E-2</v>
      </c>
      <c r="H35" s="12">
        <f>H6*Insumos!$G$11</f>
        <v>0</v>
      </c>
      <c r="I35" s="12">
        <f>I6*Insumos!$G$19</f>
        <v>0</v>
      </c>
      <c r="J35" s="12">
        <f>J6*Insumos!$G$13</f>
        <v>0</v>
      </c>
      <c r="K35" s="12">
        <f>K6*Insumos!$G$14</f>
        <v>0</v>
      </c>
      <c r="L35" s="12">
        <f>L6*Insumos!$G$20</f>
        <v>0</v>
      </c>
      <c r="M35" s="12">
        <f>M6*Insumos!$G$16</f>
        <v>0</v>
      </c>
      <c r="N35" s="12">
        <f>N6*Insumos!$G$15</f>
        <v>0</v>
      </c>
      <c r="O35" s="12">
        <f>O6*Insumos!$G$18</f>
        <v>0</v>
      </c>
      <c r="P35" s="3">
        <v>8</v>
      </c>
      <c r="Q35" s="26">
        <f t="shared" si="6"/>
        <v>3.9835599999999998</v>
      </c>
      <c r="R35" s="28">
        <f>Q35</f>
        <v>3.9835599999999998</v>
      </c>
      <c r="S35" s="30">
        <f t="shared" si="8"/>
        <v>0.49794499999999997</v>
      </c>
      <c r="T35" s="31">
        <v>24.9</v>
      </c>
      <c r="U35" s="32">
        <f t="shared" si="9"/>
        <v>3.1124999999999998</v>
      </c>
      <c r="V35" s="36">
        <f t="shared" si="10"/>
        <v>20.916439999999998</v>
      </c>
      <c r="W35" s="35">
        <f t="shared" si="11"/>
        <v>0.84001767068273092</v>
      </c>
    </row>
    <row r="36" spans="1:23">
      <c r="A36" t="s">
        <v>113</v>
      </c>
      <c r="B36" s="12">
        <f>$B7*Insumos!$G$4</f>
        <v>0.54899999999999993</v>
      </c>
      <c r="C36" s="12">
        <f>C7*Insumos!$G$6</f>
        <v>0.54900000000000004</v>
      </c>
      <c r="D36" s="12">
        <f>D7*Insumos!$G$5</f>
        <v>0.18</v>
      </c>
      <c r="E36" s="12">
        <f>E7*Insumos!$G$2</f>
        <v>1.2645599999999999</v>
      </c>
      <c r="F36" s="12">
        <f>F7*Insumos!$G$3</f>
        <v>2.1149999999999998</v>
      </c>
      <c r="G36" s="12">
        <f>G7*Insumos!$G$8</f>
        <v>5.5E-2</v>
      </c>
      <c r="H36" s="12">
        <f>H7*Insumos!$G$11</f>
        <v>0</v>
      </c>
      <c r="I36" s="12">
        <f>I7*Insumos!$G$19</f>
        <v>0</v>
      </c>
      <c r="J36" s="12">
        <f>J7*Insumos!$G$13</f>
        <v>0</v>
      </c>
      <c r="K36" s="12">
        <f>K7*Insumos!$G$14</f>
        <v>0</v>
      </c>
      <c r="L36" s="12">
        <f>L7*Insumos!$G$20</f>
        <v>0</v>
      </c>
      <c r="M36" s="12">
        <f>M7*Insumos!$G$16</f>
        <v>0</v>
      </c>
      <c r="N36" s="12">
        <f>N7*Insumos!$G$15</f>
        <v>0</v>
      </c>
      <c r="O36" s="12">
        <f>O7*Insumos!$G$18</f>
        <v>0</v>
      </c>
      <c r="P36" s="3">
        <v>8</v>
      </c>
      <c r="Q36" s="26">
        <f t="shared" si="6"/>
        <v>4.7125599999999999</v>
      </c>
      <c r="R36" s="28">
        <f>Q36</f>
        <v>4.7125599999999999</v>
      </c>
      <c r="S36" s="30">
        <f t="shared" si="8"/>
        <v>0.58906999999999998</v>
      </c>
      <c r="T36" s="31">
        <v>25.9</v>
      </c>
      <c r="U36" s="32">
        <f t="shared" si="9"/>
        <v>3.2374999999999998</v>
      </c>
      <c r="V36" s="36">
        <f t="shared" si="10"/>
        <v>21.187439999999999</v>
      </c>
      <c r="W36" s="35">
        <f t="shared" si="11"/>
        <v>0.81804787644787647</v>
      </c>
    </row>
    <row r="37" spans="1:23">
      <c r="A37" t="s">
        <v>114</v>
      </c>
      <c r="B37" s="12">
        <f>$B8*Insumos!$G$4</f>
        <v>0.54899999999999993</v>
      </c>
      <c r="C37" s="12">
        <f>C8*Insumos!$G$6</f>
        <v>0.73199999999999998</v>
      </c>
      <c r="D37" s="12">
        <f>D8*Insumos!$G$5</f>
        <v>0.18</v>
      </c>
      <c r="E37" s="12">
        <f>E8*Insumos!$G$2</f>
        <v>1.3085599999999999</v>
      </c>
      <c r="F37" s="12">
        <f>F8*Insumos!$G$3</f>
        <v>2.0699999999999998</v>
      </c>
      <c r="G37" s="12">
        <f>G8*Insumos!$G$8</f>
        <v>5.5E-2</v>
      </c>
      <c r="H37" s="12">
        <f>H8*Insumos!$G$11</f>
        <v>0</v>
      </c>
      <c r="I37" s="12">
        <f>I8*Insumos!$G$19</f>
        <v>0</v>
      </c>
      <c r="J37" s="12">
        <f>J8*Insumos!$G$13</f>
        <v>0</v>
      </c>
      <c r="K37" s="12">
        <f>K8*Insumos!$G$14</f>
        <v>0</v>
      </c>
      <c r="L37" s="12">
        <f>L8*Insumos!$G$20</f>
        <v>0</v>
      </c>
      <c r="M37" s="12">
        <f>M8*Insumos!$G$16</f>
        <v>0</v>
      </c>
      <c r="N37" s="12">
        <f>N8*Insumos!$G$15</f>
        <v>0</v>
      </c>
      <c r="O37" s="12">
        <f>O8*Insumos!$G$18</f>
        <v>0</v>
      </c>
      <c r="P37" s="3">
        <v>8</v>
      </c>
      <c r="Q37" s="26">
        <f t="shared" si="6"/>
        <v>4.8945599999999994</v>
      </c>
      <c r="R37" s="28">
        <f>Q37</f>
        <v>4.8945599999999994</v>
      </c>
      <c r="S37" s="30">
        <f t="shared" si="8"/>
        <v>0.61181999999999992</v>
      </c>
      <c r="T37" s="31">
        <v>24.9</v>
      </c>
      <c r="U37" s="32">
        <f t="shared" si="9"/>
        <v>3.1124999999999998</v>
      </c>
      <c r="V37" s="36">
        <f t="shared" si="10"/>
        <v>20.00544</v>
      </c>
      <c r="W37" s="35">
        <f t="shared" si="11"/>
        <v>0.80343132530120487</v>
      </c>
    </row>
    <row r="38" spans="1:23">
      <c r="A38" t="s">
        <v>115</v>
      </c>
      <c r="B38" s="12">
        <f>$B9*Insumos!$G$4</f>
        <v>0.54899999999999993</v>
      </c>
      <c r="C38" s="12">
        <f>C9*Insumos!$G$6</f>
        <v>0</v>
      </c>
      <c r="D38" s="12">
        <f>D9*Insumos!$G$5</f>
        <v>0</v>
      </c>
      <c r="E38" s="12">
        <f>E9*Insumos!$G$2</f>
        <v>0.92136000000000007</v>
      </c>
      <c r="F38" s="12">
        <f>F9*Insumos!$G$3</f>
        <v>1.53</v>
      </c>
      <c r="G38" s="12">
        <f>G9*Insumos!$G$8</f>
        <v>0</v>
      </c>
      <c r="H38" s="12">
        <f>H9*Insumos!$G$11</f>
        <v>0</v>
      </c>
      <c r="I38" s="12">
        <f>I9*Insumos!$G$19</f>
        <v>0</v>
      </c>
      <c r="J38" s="12">
        <f>J9*Insumos!$G$13</f>
        <v>0</v>
      </c>
      <c r="K38" s="12">
        <f>K9*Insumos!$G$14</f>
        <v>0</v>
      </c>
      <c r="L38" s="12">
        <f>L9*Insumos!$G$20</f>
        <v>0</v>
      </c>
      <c r="M38" s="12">
        <f>M9*Insumos!$G$16</f>
        <v>0</v>
      </c>
      <c r="N38" s="12">
        <f>N9*Insumos!$G$15</f>
        <v>0</v>
      </c>
      <c r="O38" s="12">
        <f>O9*Insumos!$G$18</f>
        <v>0</v>
      </c>
      <c r="P38" s="3">
        <v>8</v>
      </c>
      <c r="Q38" s="26">
        <f t="shared" si="6"/>
        <v>3.0003599999999997</v>
      </c>
      <c r="R38" s="28">
        <f>Q38</f>
        <v>3.0003599999999997</v>
      </c>
      <c r="S38" s="30">
        <f t="shared" si="8"/>
        <v>0.37504499999999996</v>
      </c>
      <c r="T38" s="31">
        <v>19.899999999999999</v>
      </c>
      <c r="U38" s="32">
        <f t="shared" si="9"/>
        <v>2.4874999999999998</v>
      </c>
      <c r="V38" s="36">
        <f t="shared" si="10"/>
        <v>16.899639999999998</v>
      </c>
      <c r="W38" s="35">
        <f t="shared" si="11"/>
        <v>0.8492281407035176</v>
      </c>
    </row>
    <row r="39" spans="1:23">
      <c r="A39" t="s">
        <v>116</v>
      </c>
      <c r="B39" s="12">
        <f>$B10*Insumos!$G$4</f>
        <v>0</v>
      </c>
      <c r="C39" s="12">
        <f>C10*Insumos!$G$6</f>
        <v>0</v>
      </c>
      <c r="D39" s="12">
        <f>D10*Insumos!$G$5</f>
        <v>0</v>
      </c>
      <c r="E39" s="12">
        <f>E10*Insumos!$G$2</f>
        <v>0.20240000000000002</v>
      </c>
      <c r="F39" s="12">
        <f>F10*Insumos!$G$3</f>
        <v>0.315</v>
      </c>
      <c r="G39" s="12">
        <f>G10*Insumos!$G$8</f>
        <v>0</v>
      </c>
      <c r="H39" s="12">
        <f>H10*Insumos!$G$11</f>
        <v>0</v>
      </c>
      <c r="I39" s="12">
        <f>I10*Insumos!$G$19</f>
        <v>0</v>
      </c>
      <c r="J39" s="12">
        <f>J10*Insumos!$G$13</f>
        <v>0</v>
      </c>
      <c r="K39" s="12">
        <f>K10*Insumos!$G$14</f>
        <v>0</v>
      </c>
      <c r="L39" s="12">
        <f>L10*Insumos!$G$20</f>
        <v>0</v>
      </c>
      <c r="M39" s="12">
        <f>M10*Insumos!$G$16</f>
        <v>0</v>
      </c>
      <c r="N39" s="12">
        <f>N10*Insumos!$G$15</f>
        <v>0</v>
      </c>
      <c r="O39" s="12">
        <f>O10*Insumos!$G$18</f>
        <v>0</v>
      </c>
      <c r="P39" s="3">
        <v>9</v>
      </c>
      <c r="Q39" s="26">
        <f t="shared" si="6"/>
        <v>0.51740000000000008</v>
      </c>
      <c r="R39" s="28">
        <f>Q39*P39</f>
        <v>4.656600000000001</v>
      </c>
      <c r="S39" s="30">
        <f>R39/P39</f>
        <v>0.51740000000000008</v>
      </c>
      <c r="T39" s="31">
        <v>32.9</v>
      </c>
      <c r="U39" s="32">
        <f t="shared" si="9"/>
        <v>3.6555555555555554</v>
      </c>
      <c r="V39" s="36">
        <f>T39-R39</f>
        <v>28.243399999999998</v>
      </c>
      <c r="W39" s="35">
        <f t="shared" si="11"/>
        <v>0.85846200607902734</v>
      </c>
    </row>
    <row r="40" spans="1:23">
      <c r="A40" t="s">
        <v>117</v>
      </c>
      <c r="B40" s="12">
        <f>$B11*Insumos!$G$4</f>
        <v>0</v>
      </c>
      <c r="C40" s="12">
        <f>C11*Insumos!$G$6</f>
        <v>3.6600000000000001E-2</v>
      </c>
      <c r="D40" s="12">
        <f>D11*Insumos!$G$5</f>
        <v>0.03</v>
      </c>
      <c r="E40" s="12">
        <f>E11*Insumos!$G$2</f>
        <v>0.1232</v>
      </c>
      <c r="F40" s="12">
        <f>F11*Insumos!$G$3</f>
        <v>0.63</v>
      </c>
      <c r="G40" s="12">
        <f>G11*Insumos!$G$8</f>
        <v>0</v>
      </c>
      <c r="H40" s="12">
        <f>H11*Insumos!$G$11</f>
        <v>0</v>
      </c>
      <c r="I40" s="12">
        <f>I11*Insumos!$G$19</f>
        <v>0</v>
      </c>
      <c r="J40" s="12">
        <f>J11*Insumos!$G$13</f>
        <v>0</v>
      </c>
      <c r="K40" s="12">
        <f>K11*Insumos!$G$14</f>
        <v>0</v>
      </c>
      <c r="L40" s="12">
        <f>L11*Insumos!$G$20</f>
        <v>0</v>
      </c>
      <c r="M40" s="12">
        <f>M11*Insumos!$G$16</f>
        <v>0</v>
      </c>
      <c r="N40" s="12">
        <f>N11*Insumos!$G$15</f>
        <v>0</v>
      </c>
      <c r="O40" s="12">
        <f>O11*Insumos!$G$18</f>
        <v>0</v>
      </c>
      <c r="P40" s="3">
        <v>8</v>
      </c>
      <c r="Q40" s="26">
        <f t="shared" si="6"/>
        <v>0.81979999999999997</v>
      </c>
      <c r="R40" s="28">
        <f>Q40*P40</f>
        <v>6.5583999999999998</v>
      </c>
      <c r="S40" s="30">
        <f t="shared" ref="S40:S43" si="12">R40/P40</f>
        <v>0.81979999999999997</v>
      </c>
      <c r="T40" s="31">
        <v>29.9</v>
      </c>
      <c r="U40" s="32">
        <f t="shared" si="9"/>
        <v>3.7374999999999998</v>
      </c>
      <c r="V40" s="36">
        <f t="shared" ref="V40:V43" si="13">T40-R40</f>
        <v>23.3416</v>
      </c>
      <c r="W40" s="35">
        <f t="shared" si="11"/>
        <v>0.78065551839464886</v>
      </c>
    </row>
    <row r="41" spans="1:23">
      <c r="A41" t="s">
        <v>118</v>
      </c>
      <c r="B41" s="12">
        <f>$B12*Insumos!$G$4</f>
        <v>0</v>
      </c>
      <c r="C41" s="12">
        <f>C12*Insumos!$G$6</f>
        <v>0.1464</v>
      </c>
      <c r="D41" s="12">
        <f>D12*Insumos!$G$5</f>
        <v>0.03</v>
      </c>
      <c r="E41" s="12">
        <f>E12*Insumos!$G$2</f>
        <v>0.1232</v>
      </c>
      <c r="F41" s="12">
        <f>F12*Insumos!$G$3</f>
        <v>0.63</v>
      </c>
      <c r="G41" s="12">
        <f>G12*Insumos!$G$8</f>
        <v>0</v>
      </c>
      <c r="H41" s="12">
        <f>H12*Insumos!$G$11</f>
        <v>0</v>
      </c>
      <c r="I41" s="12">
        <f>I12*Insumos!$G$19</f>
        <v>1.2704166666666666E-2</v>
      </c>
      <c r="J41" s="12">
        <f>J12*Insumos!$G$13</f>
        <v>0</v>
      </c>
      <c r="K41" s="12">
        <f>K12*Insumos!$G$14</f>
        <v>0</v>
      </c>
      <c r="L41" s="12">
        <f>L12*Insumos!$G$20</f>
        <v>0</v>
      </c>
      <c r="M41" s="12">
        <f>M12*Insumos!$G$16</f>
        <v>0</v>
      </c>
      <c r="N41" s="12">
        <f>N12*Insumos!$G$15</f>
        <v>0</v>
      </c>
      <c r="O41" s="12">
        <f>O12*Insumos!$G$18</f>
        <v>0</v>
      </c>
      <c r="P41" s="3">
        <v>8</v>
      </c>
      <c r="Q41" s="26">
        <f t="shared" si="6"/>
        <v>0.94230416666666661</v>
      </c>
      <c r="R41" s="28">
        <f>Q41*P41</f>
        <v>7.5384333333333329</v>
      </c>
      <c r="S41" s="30">
        <f t="shared" si="12"/>
        <v>0.94230416666666661</v>
      </c>
      <c r="T41" s="31">
        <v>29.9</v>
      </c>
      <c r="U41" s="32">
        <f t="shared" si="9"/>
        <v>3.7374999999999998</v>
      </c>
      <c r="V41" s="36">
        <f t="shared" si="13"/>
        <v>22.361566666666665</v>
      </c>
      <c r="W41" s="35">
        <f t="shared" si="11"/>
        <v>0.74787848383500555</v>
      </c>
    </row>
    <row r="42" spans="1:23">
      <c r="A42" t="s">
        <v>119</v>
      </c>
      <c r="B42" s="12">
        <f>$B13*Insumos!$G$4</f>
        <v>0</v>
      </c>
      <c r="C42" s="12">
        <f>C13*Insumos!$G$6</f>
        <v>3.6600000000000001E-2</v>
      </c>
      <c r="D42" s="12">
        <f>D13*Insumos!$G$5</f>
        <v>0.03</v>
      </c>
      <c r="E42" s="12">
        <f>E13*Insumos!$G$2</f>
        <v>0.1232</v>
      </c>
      <c r="F42" s="12">
        <f>F13*Insumos!$G$3</f>
        <v>0.63</v>
      </c>
      <c r="G42" s="12">
        <f>G13*Insumos!$G$8</f>
        <v>0</v>
      </c>
      <c r="H42" s="12">
        <f>H13*Insumos!$G$11</f>
        <v>1.6E-2</v>
      </c>
      <c r="I42" s="12">
        <f>I13*Insumos!$G$19</f>
        <v>0</v>
      </c>
      <c r="J42" s="12">
        <f>J13*Insumos!$G$13</f>
        <v>0</v>
      </c>
      <c r="K42" s="12">
        <f>K13*Insumos!$G$14</f>
        <v>0</v>
      </c>
      <c r="L42" s="12">
        <f>L13*Insumos!$G$20</f>
        <v>0</v>
      </c>
      <c r="M42" s="12">
        <f>M13*Insumos!$G$16</f>
        <v>0</v>
      </c>
      <c r="N42" s="12">
        <f>N13*Insumos!$G$15</f>
        <v>0</v>
      </c>
      <c r="O42" s="12">
        <f>O13*Insumos!$G$18</f>
        <v>0</v>
      </c>
      <c r="P42" s="3">
        <v>8</v>
      </c>
      <c r="Q42" s="26">
        <f t="shared" si="6"/>
        <v>0.83579999999999999</v>
      </c>
      <c r="R42" s="28">
        <f>Q42*P42</f>
        <v>6.6863999999999999</v>
      </c>
      <c r="S42" s="30">
        <f t="shared" si="12"/>
        <v>0.83579999999999999</v>
      </c>
      <c r="T42" s="31">
        <v>29.9</v>
      </c>
      <c r="U42" s="32">
        <f t="shared" si="9"/>
        <v>3.7374999999999998</v>
      </c>
      <c r="V42" s="36">
        <f t="shared" si="13"/>
        <v>23.2136</v>
      </c>
      <c r="W42" s="35">
        <f t="shared" si="11"/>
        <v>0.77637458193979936</v>
      </c>
    </row>
    <row r="43" spans="1:23">
      <c r="A43" t="s">
        <v>120</v>
      </c>
      <c r="B43" s="12">
        <f>$B14*Insumos!$G$4</f>
        <v>0</v>
      </c>
      <c r="C43" s="12">
        <f>C14*Insumos!$G$6</f>
        <v>0</v>
      </c>
      <c r="D43" s="12">
        <f>D14*Insumos!$G$5</f>
        <v>0</v>
      </c>
      <c r="E43" s="12">
        <f>E14*Insumos!$G$2</f>
        <v>0</v>
      </c>
      <c r="F43" s="12">
        <f>F14*Insumos!$G$3</f>
        <v>0.63</v>
      </c>
      <c r="G43" s="12">
        <f>G14*Insumos!$G$8</f>
        <v>0</v>
      </c>
      <c r="H43" s="12">
        <f>H14*Insumos!$G$11</f>
        <v>0</v>
      </c>
      <c r="I43" s="12">
        <f>I14*Insumos!$G$19</f>
        <v>0</v>
      </c>
      <c r="J43" s="12">
        <f>J14*Insumos!$G$13</f>
        <v>0</v>
      </c>
      <c r="K43" s="12">
        <f>K14*Insumos!$G$14</f>
        <v>0</v>
      </c>
      <c r="L43" s="12">
        <f>L14*Insumos!$G$20</f>
        <v>0</v>
      </c>
      <c r="M43" s="12">
        <f>M14*Insumos!$G$16</f>
        <v>0</v>
      </c>
      <c r="N43" s="12">
        <f>N14*Insumos!$G$15</f>
        <v>0</v>
      </c>
      <c r="O43" s="12">
        <f>O14*Insumos!$G$18</f>
        <v>0</v>
      </c>
      <c r="P43" s="3">
        <v>10</v>
      </c>
      <c r="Q43" s="26">
        <f t="shared" si="6"/>
        <v>0.63</v>
      </c>
      <c r="R43" s="28">
        <f>Q43*P43</f>
        <v>6.3</v>
      </c>
      <c r="S43" s="30">
        <f t="shared" si="12"/>
        <v>0.63</v>
      </c>
      <c r="T43" s="31">
        <v>35.9</v>
      </c>
      <c r="U43" s="32">
        <f t="shared" si="9"/>
        <v>3.59</v>
      </c>
      <c r="V43" s="36">
        <f t="shared" si="13"/>
        <v>29.599999999999998</v>
      </c>
      <c r="W43" s="35">
        <f t="shared" si="11"/>
        <v>0.82451253481894149</v>
      </c>
    </row>
    <row r="44" spans="1:23">
      <c r="A44" t="s">
        <v>71</v>
      </c>
      <c r="B44" s="12">
        <f>$B15*Insumos!$G$4</f>
        <v>0</v>
      </c>
      <c r="C44" s="12">
        <f>C15*Insumos!$G$6</f>
        <v>0</v>
      </c>
      <c r="D44" s="12">
        <f>D15*Insumos!$G$5</f>
        <v>0</v>
      </c>
      <c r="E44" s="12">
        <f>E15*Insumos!$G$2</f>
        <v>0</v>
      </c>
      <c r="F44" s="12">
        <f>F15*Insumos!$G$3</f>
        <v>0</v>
      </c>
      <c r="G44" s="12">
        <f>G15*Insumos!$G$8</f>
        <v>0</v>
      </c>
      <c r="H44" s="12">
        <f>H15*Insumos!$G$11</f>
        <v>0</v>
      </c>
      <c r="I44" s="12">
        <f>I15*Insumos!$G$19</f>
        <v>0</v>
      </c>
      <c r="J44" s="12">
        <f>J15*Insumos!$G$13</f>
        <v>5</v>
      </c>
      <c r="K44" s="12">
        <f>K15*Insumos!$G$14</f>
        <v>0.16</v>
      </c>
      <c r="L44" s="12">
        <f>L15*Insumos!$G$20</f>
        <v>0.10434782608695653</v>
      </c>
      <c r="M44" s="12">
        <f>M15*Insumos!$G$16</f>
        <v>0</v>
      </c>
      <c r="N44" s="12">
        <f>N15*Insumos!$G$15</f>
        <v>0</v>
      </c>
      <c r="O44" s="12">
        <f>O15*Insumos!$G$18</f>
        <v>0</v>
      </c>
      <c r="P44" s="3">
        <v>1</v>
      </c>
      <c r="Q44" s="26">
        <f t="shared" si="6"/>
        <v>5.2643478260869569</v>
      </c>
      <c r="R44" s="28">
        <f t="shared" ref="R44:R56" si="14">Q44*P44</f>
        <v>5.2643478260869569</v>
      </c>
      <c r="S44" s="30">
        <f>Q44/P44</f>
        <v>5.2643478260869569</v>
      </c>
      <c r="T44" s="31">
        <v>21.9</v>
      </c>
      <c r="U44" s="32">
        <f t="shared" si="9"/>
        <v>21.9</v>
      </c>
      <c r="V44" s="36">
        <f>T44-Q44</f>
        <v>16.635652173913041</v>
      </c>
      <c r="W44" s="35">
        <f t="shared" si="11"/>
        <v>0.7596188207266229</v>
      </c>
    </row>
    <row r="45" spans="1:23">
      <c r="A45" t="s">
        <v>121</v>
      </c>
      <c r="B45" s="12">
        <f>$B16*Insumos!$G$4</f>
        <v>0.54899999999999993</v>
      </c>
      <c r="C45" s="12">
        <f>C16*Insumos!$G$6</f>
        <v>0.54900000000000004</v>
      </c>
      <c r="D45" s="12">
        <f>D16*Insumos!$G$5</f>
        <v>0.18</v>
      </c>
      <c r="E45" s="12">
        <f>E16*Insumos!$G$2</f>
        <v>0.5544</v>
      </c>
      <c r="F45" s="12">
        <f>F16*Insumos!$G$3</f>
        <v>4.5</v>
      </c>
      <c r="G45" s="12">
        <f>G16*Insumos!$G$8</f>
        <v>0</v>
      </c>
      <c r="H45" s="12">
        <f>H16*Insumos!$G$11</f>
        <v>0</v>
      </c>
      <c r="I45" s="12">
        <f>I16*Insumos!$G$19</f>
        <v>0</v>
      </c>
      <c r="J45" s="12">
        <f>J16*Insumos!$G$13</f>
        <v>0</v>
      </c>
      <c r="K45" s="12">
        <f>K16*Insumos!$G$14</f>
        <v>0</v>
      </c>
      <c r="L45" s="12">
        <f>L16*Insumos!$G$20</f>
        <v>0</v>
      </c>
      <c r="M45" s="12">
        <f>M16*Insumos!$G$16</f>
        <v>4.4617021276595746E-2</v>
      </c>
      <c r="N45" s="12">
        <f>N16*Insumos!$G$15</f>
        <v>1.1650000000000001E-2</v>
      </c>
      <c r="O45" s="12">
        <f>O16*Insumos!$G$18</f>
        <v>4.1707000000000001E-2</v>
      </c>
      <c r="P45" s="3">
        <v>1</v>
      </c>
      <c r="Q45" s="26">
        <f t="shared" si="6"/>
        <v>6.4303740212765961</v>
      </c>
      <c r="R45" s="28">
        <f t="shared" si="14"/>
        <v>6.4303740212765961</v>
      </c>
      <c r="S45" s="30">
        <f>Q45/P45</f>
        <v>6.4303740212765961</v>
      </c>
      <c r="T45" s="31">
        <v>28.9</v>
      </c>
      <c r="U45" s="32">
        <f t="shared" si="9"/>
        <v>28.9</v>
      </c>
      <c r="V45" s="36">
        <f>T45-Q45</f>
        <v>22.469625978723403</v>
      </c>
      <c r="W45" s="35">
        <f t="shared" si="11"/>
        <v>0.7774957086063462</v>
      </c>
    </row>
    <row r="46" spans="1:23">
      <c r="A46" t="s">
        <v>122</v>
      </c>
      <c r="B46" s="12">
        <f>$B17*Insumos!$G$4</f>
        <v>0.54899999999999993</v>
      </c>
      <c r="C46" s="12">
        <f>C17*Insumos!$G$6</f>
        <v>0.80520000000000003</v>
      </c>
      <c r="D46" s="12">
        <f>D17*Insumos!$G$5</f>
        <v>0.18</v>
      </c>
      <c r="E46" s="12">
        <f>E17*Insumos!$G$2</f>
        <v>0.59840000000000004</v>
      </c>
      <c r="F46" s="12">
        <f>F17*Insumos!$G$3</f>
        <v>3.33</v>
      </c>
      <c r="G46" s="12">
        <f>G17*Insumos!$G$8</f>
        <v>0</v>
      </c>
      <c r="H46" s="12">
        <f>H17*Insumos!$G$11</f>
        <v>0</v>
      </c>
      <c r="I46" s="12">
        <f>I17*Insumos!$G$19</f>
        <v>0</v>
      </c>
      <c r="J46" s="12">
        <f>J17*Insumos!$G$13</f>
        <v>0</v>
      </c>
      <c r="K46" s="12">
        <f>K17*Insumos!$G$14</f>
        <v>0</v>
      </c>
      <c r="L46" s="12">
        <f>L17*Insumos!$G$20</f>
        <v>0</v>
      </c>
      <c r="M46" s="12">
        <f>M17*Insumos!$G$16</f>
        <v>4.4617021276595746E-2</v>
      </c>
      <c r="N46" s="12">
        <f>N17*Insumos!$G$15</f>
        <v>1.1650000000000001E-2</v>
      </c>
      <c r="O46" s="12">
        <f>O17*Insumos!$G$18</f>
        <v>4.1707000000000001E-2</v>
      </c>
      <c r="P46" s="3">
        <v>1</v>
      </c>
      <c r="Q46" s="26">
        <f t="shared" si="6"/>
        <v>5.5605740212765964</v>
      </c>
      <c r="R46" s="28">
        <f t="shared" si="14"/>
        <v>5.5605740212765964</v>
      </c>
      <c r="S46" s="30">
        <f>Q46/P46</f>
        <v>5.5605740212765964</v>
      </c>
      <c r="T46" s="31">
        <v>28.9</v>
      </c>
      <c r="U46" s="32">
        <f t="shared" si="9"/>
        <v>28.9</v>
      </c>
      <c r="V46" s="36">
        <f>T46-Q46</f>
        <v>23.339425978723401</v>
      </c>
      <c r="W46" s="35">
        <f t="shared" si="11"/>
        <v>0.80759259441949494</v>
      </c>
    </row>
    <row r="47" spans="1:23">
      <c r="A47" t="s">
        <v>141</v>
      </c>
      <c r="B47" s="12">
        <f>$B18*Insumos!$G$4</f>
        <v>0.54899999999999993</v>
      </c>
      <c r="C47" s="12">
        <f>C18*Insumos!$G$6</f>
        <v>0</v>
      </c>
      <c r="D47" s="12">
        <f>D18*Insumos!$G$5</f>
        <v>0</v>
      </c>
      <c r="E47" s="12">
        <f>E18*Insumos!$G$2</f>
        <v>0.92136000000000007</v>
      </c>
      <c r="F47" s="12">
        <f>F18*Insumos!$G$3</f>
        <v>1.53</v>
      </c>
      <c r="G47" s="12">
        <f>G18*Insumos!$G$8</f>
        <v>0</v>
      </c>
      <c r="H47" s="12">
        <f>H18*Insumos!$G$11</f>
        <v>0</v>
      </c>
      <c r="I47" s="12">
        <f>I18*Insumos!$G$19</f>
        <v>0</v>
      </c>
      <c r="J47" s="12">
        <f>J18*Insumos!$G$13</f>
        <v>0</v>
      </c>
      <c r="K47" s="12">
        <f>K18*Insumos!$G$14</f>
        <v>0</v>
      </c>
      <c r="L47" s="12">
        <f>L18*Insumos!$G$20</f>
        <v>0</v>
      </c>
      <c r="M47" s="12">
        <f>M18*Insumos!$G$16</f>
        <v>4.4617021276595746E-2</v>
      </c>
      <c r="N47" s="12">
        <f>N18*Insumos!$G$15</f>
        <v>1.1650000000000001E-2</v>
      </c>
      <c r="O47" s="12">
        <f>O18*Insumos!$G$18</f>
        <v>4.1707000000000001E-2</v>
      </c>
      <c r="P47" s="3">
        <v>8</v>
      </c>
      <c r="Q47" s="26">
        <f t="shared" si="6"/>
        <v>3.0983340212765955</v>
      </c>
      <c r="R47" s="28">
        <f>Q47</f>
        <v>3.0983340212765955</v>
      </c>
      <c r="S47" s="30">
        <f t="shared" ref="S47:S56" si="15">Q47/P47</f>
        <v>0.38729175265957444</v>
      </c>
      <c r="T47" s="31">
        <v>28.9</v>
      </c>
      <c r="U47" s="32">
        <f t="shared" si="9"/>
        <v>3.6124999999999998</v>
      </c>
      <c r="V47" s="36">
        <f t="shared" ref="V47:V56" si="16">T47-Q47</f>
        <v>25.801665978723403</v>
      </c>
      <c r="W47" s="35">
        <f t="shared" si="11"/>
        <v>0.89279121033644993</v>
      </c>
    </row>
    <row r="48" spans="1:23">
      <c r="A48" t="s">
        <v>142</v>
      </c>
      <c r="B48" s="12">
        <f>$B19*Insumos!$G$4</f>
        <v>0.54899999999999993</v>
      </c>
      <c r="C48" s="12">
        <f>C19*Insumos!$G$6</f>
        <v>0.73199999999999998</v>
      </c>
      <c r="D48" s="12">
        <f>D19*Insumos!$G$5</f>
        <v>0.18</v>
      </c>
      <c r="E48" s="12">
        <f>E19*Insumos!$G$2</f>
        <v>1.3085599999999999</v>
      </c>
      <c r="F48" s="12">
        <f>F19*Insumos!$G$3</f>
        <v>2.0699999999999998</v>
      </c>
      <c r="G48" s="12">
        <f>G19*Insumos!$G$8</f>
        <v>5.5E-2</v>
      </c>
      <c r="H48" s="12">
        <f>H19*Insumos!$G$11</f>
        <v>0</v>
      </c>
      <c r="I48" s="12">
        <f>I19*Insumos!$G$19</f>
        <v>0</v>
      </c>
      <c r="J48" s="12">
        <f>J19*Insumos!$G$13</f>
        <v>0</v>
      </c>
      <c r="K48" s="12">
        <f>K19*Insumos!$G$14</f>
        <v>0</v>
      </c>
      <c r="L48" s="12">
        <f>L19*Insumos!$G$20</f>
        <v>0</v>
      </c>
      <c r="M48" s="12">
        <f>M19*Insumos!$G$16</f>
        <v>0</v>
      </c>
      <c r="N48" s="12">
        <f>N19*Insumos!$G$15</f>
        <v>0</v>
      </c>
      <c r="O48" s="12">
        <f>O19*Insumos!$G$18</f>
        <v>0</v>
      </c>
      <c r="P48" s="3">
        <v>8</v>
      </c>
      <c r="Q48" s="26">
        <f t="shared" si="6"/>
        <v>4.8945599999999994</v>
      </c>
      <c r="R48" s="28">
        <f t="shared" ref="R48:R49" si="17">Q48</f>
        <v>4.8945599999999994</v>
      </c>
      <c r="S48" s="30">
        <f t="shared" si="15"/>
        <v>0.61181999999999992</v>
      </c>
      <c r="T48" s="31">
        <v>28.9</v>
      </c>
      <c r="U48" s="32">
        <f t="shared" si="9"/>
        <v>3.6124999999999998</v>
      </c>
      <c r="V48" s="36">
        <f t="shared" si="16"/>
        <v>24.00544</v>
      </c>
      <c r="W48" s="35">
        <f t="shared" si="11"/>
        <v>0.83063806228373704</v>
      </c>
    </row>
    <row r="49" spans="1:23">
      <c r="A49" t="s">
        <v>143</v>
      </c>
      <c r="B49" s="12">
        <f>$B20*Insumos!$G$4</f>
        <v>0.54899999999999993</v>
      </c>
      <c r="C49" s="12">
        <f>C20*Insumos!$G$6</f>
        <v>0.73199999999999998</v>
      </c>
      <c r="D49" s="12">
        <f>D20*Insumos!$G$5</f>
        <v>0.18</v>
      </c>
      <c r="E49" s="12">
        <f>E20*Insumos!$G$2</f>
        <v>1.3085599999999999</v>
      </c>
      <c r="F49" s="12">
        <f>F20*Insumos!$G$3</f>
        <v>2.0699999999999998</v>
      </c>
      <c r="G49" s="12">
        <f>G20*Insumos!$G$8</f>
        <v>5.5E-2</v>
      </c>
      <c r="H49" s="12">
        <f>H20*Insumos!$G$11</f>
        <v>0</v>
      </c>
      <c r="I49" s="12">
        <f>I20*Insumos!$G$19</f>
        <v>0</v>
      </c>
      <c r="J49" s="12">
        <f>J20*Insumos!$G$13</f>
        <v>0</v>
      </c>
      <c r="K49" s="12">
        <f>K20*Insumos!$G$14</f>
        <v>0</v>
      </c>
      <c r="L49" s="12">
        <f>L20*Insumos!$G$20</f>
        <v>0</v>
      </c>
      <c r="M49" s="12">
        <f>M20*Insumos!$G$16</f>
        <v>0</v>
      </c>
      <c r="N49" s="12">
        <f>N20*Insumos!$G$15</f>
        <v>0</v>
      </c>
      <c r="O49" s="12">
        <f>O20*Insumos!$G$18</f>
        <v>0</v>
      </c>
      <c r="P49" s="3">
        <v>8</v>
      </c>
      <c r="Q49" s="26">
        <f t="shared" si="6"/>
        <v>4.8945599999999994</v>
      </c>
      <c r="R49" s="28">
        <f t="shared" si="17"/>
        <v>4.8945599999999994</v>
      </c>
      <c r="S49" s="30">
        <f t="shared" si="15"/>
        <v>0.61181999999999992</v>
      </c>
      <c r="T49" s="31">
        <v>28.9</v>
      </c>
      <c r="U49" s="32">
        <f t="shared" si="9"/>
        <v>3.6124999999999998</v>
      </c>
      <c r="V49" s="36">
        <f t="shared" si="16"/>
        <v>24.00544</v>
      </c>
      <c r="W49" s="35">
        <f t="shared" si="11"/>
        <v>0.83063806228373704</v>
      </c>
    </row>
    <row r="50" spans="1:23">
      <c r="A50" t="s">
        <v>126</v>
      </c>
      <c r="B50" s="12">
        <f>$B21*Insumos!$G$4</f>
        <v>0</v>
      </c>
      <c r="C50" s="12">
        <f>C21*Insumos!$G$6</f>
        <v>3.6600000000000001E-2</v>
      </c>
      <c r="D50" s="12">
        <f>D21*Insumos!$G$5</f>
        <v>0.03</v>
      </c>
      <c r="E50" s="12">
        <f>E21*Insumos!$G$2</f>
        <v>0.1232</v>
      </c>
      <c r="F50" s="12">
        <f>F21*Insumos!$G$3</f>
        <v>0.63</v>
      </c>
      <c r="G50" s="12">
        <f>G21*Insumos!$G$8</f>
        <v>0</v>
      </c>
      <c r="H50" s="12">
        <f>H21*Insumos!$G$11</f>
        <v>0</v>
      </c>
      <c r="I50" s="12">
        <f>I21*Insumos!$G$19</f>
        <v>0</v>
      </c>
      <c r="J50" s="12">
        <f>J21*Insumos!$G$13</f>
        <v>0</v>
      </c>
      <c r="K50" s="12">
        <f>K21*Insumos!$G$14</f>
        <v>0</v>
      </c>
      <c r="L50" s="12">
        <f>L21*Insumos!$G$20</f>
        <v>0</v>
      </c>
      <c r="M50" s="12">
        <f>M21*Insumos!$G$16</f>
        <v>0</v>
      </c>
      <c r="N50" s="12">
        <f>N21*Insumos!$G$15</f>
        <v>0</v>
      </c>
      <c r="O50" s="12">
        <f>O21*Insumos!$G$18</f>
        <v>0</v>
      </c>
      <c r="P50" s="3">
        <v>8</v>
      </c>
      <c r="Q50" s="26">
        <f t="shared" si="6"/>
        <v>0.81979999999999997</v>
      </c>
      <c r="R50" s="28">
        <f t="shared" si="14"/>
        <v>6.5583999999999998</v>
      </c>
      <c r="S50" s="30">
        <f t="shared" si="15"/>
        <v>0.102475</v>
      </c>
      <c r="T50" s="31">
        <v>28.9</v>
      </c>
      <c r="U50" s="32">
        <f t="shared" si="9"/>
        <v>3.6124999999999998</v>
      </c>
      <c r="V50" s="36">
        <f>T50-R50</f>
        <v>22.3416</v>
      </c>
      <c r="W50" s="35">
        <f t="shared" si="11"/>
        <v>0.77306574394463667</v>
      </c>
    </row>
    <row r="51" spans="1:23">
      <c r="A51" t="s">
        <v>127</v>
      </c>
      <c r="B51" s="12">
        <f>$B22*Insumos!$G$4</f>
        <v>0</v>
      </c>
      <c r="C51" s="12">
        <f>C22*Insumos!$G$6</f>
        <v>0</v>
      </c>
      <c r="D51" s="12">
        <f>D22*Insumos!$G$5</f>
        <v>0</v>
      </c>
      <c r="E51" s="12">
        <f>E22*Insumos!$G$2</f>
        <v>0.20240000000000002</v>
      </c>
      <c r="F51" s="12">
        <f>F22*Insumos!$G$3</f>
        <v>0.315</v>
      </c>
      <c r="G51" s="12">
        <f>G22*Insumos!$G$8</f>
        <v>0</v>
      </c>
      <c r="H51" s="12">
        <f>H22*Insumos!$G$11</f>
        <v>0</v>
      </c>
      <c r="I51" s="12">
        <f>I22*Insumos!$G$19</f>
        <v>0</v>
      </c>
      <c r="J51" s="12">
        <f>J22*Insumos!$G$13</f>
        <v>0</v>
      </c>
      <c r="K51" s="12">
        <f>K22*Insumos!$G$14</f>
        <v>0</v>
      </c>
      <c r="L51" s="12">
        <f>L22*Insumos!$G$20</f>
        <v>0</v>
      </c>
      <c r="M51" s="12">
        <f>M22*Insumos!$G$16</f>
        <v>0</v>
      </c>
      <c r="N51" s="12">
        <f>N22*Insumos!$G$15</f>
        <v>0</v>
      </c>
      <c r="O51" s="12">
        <f>O22*Insumos!$G$18</f>
        <v>0</v>
      </c>
      <c r="P51" s="3">
        <v>9</v>
      </c>
      <c r="Q51" s="26">
        <f t="shared" si="6"/>
        <v>0.51740000000000008</v>
      </c>
      <c r="R51" s="28">
        <f t="shared" si="14"/>
        <v>4.656600000000001</v>
      </c>
      <c r="S51" s="30">
        <f t="shared" si="15"/>
        <v>5.7488888888888895E-2</v>
      </c>
      <c r="T51" s="31">
        <v>28.9</v>
      </c>
      <c r="U51" s="32">
        <f t="shared" si="9"/>
        <v>3.2111111111111108</v>
      </c>
      <c r="V51" s="36">
        <f>T51-R51</f>
        <v>24.243399999999998</v>
      </c>
      <c r="W51" s="35">
        <f t="shared" si="11"/>
        <v>0.8388719723183391</v>
      </c>
    </row>
    <row r="52" spans="1:23">
      <c r="A52" t="s">
        <v>128</v>
      </c>
      <c r="B52" s="12">
        <f>$B23*Insumos!$G$4</f>
        <v>0.54899999999999993</v>
      </c>
      <c r="C52" s="12">
        <f>C23*Insumos!$G$6</f>
        <v>0.54900000000000004</v>
      </c>
      <c r="D52" s="12">
        <f>D23*Insumos!$G$5</f>
        <v>0.18</v>
      </c>
      <c r="E52" s="12">
        <f>E23*Insumos!$G$2</f>
        <v>1.2645599999999999</v>
      </c>
      <c r="F52" s="12">
        <f>F23*Insumos!$G$3</f>
        <v>2.1149999999999998</v>
      </c>
      <c r="G52" s="12">
        <f>G23*Insumos!$G$8</f>
        <v>5.5E-2</v>
      </c>
      <c r="H52" s="12">
        <f>H23*Insumos!$G$11</f>
        <v>0</v>
      </c>
      <c r="I52" s="12">
        <f>I23*Insumos!$G$19</f>
        <v>0</v>
      </c>
      <c r="J52" s="12">
        <f>J23*Insumos!$G$13</f>
        <v>0</v>
      </c>
      <c r="K52" s="12">
        <f>K23*Insumos!$G$14</f>
        <v>0</v>
      </c>
      <c r="L52" s="12">
        <f>L23*Insumos!$G$20</f>
        <v>0</v>
      </c>
      <c r="M52" s="12">
        <f>M23*Insumos!$G$16</f>
        <v>0</v>
      </c>
      <c r="N52" s="12">
        <f>N23*Insumos!$G$15</f>
        <v>0</v>
      </c>
      <c r="O52" s="12">
        <f>O23*Insumos!$G$18</f>
        <v>0</v>
      </c>
      <c r="P52" s="3">
        <v>8</v>
      </c>
      <c r="Q52" s="26">
        <f t="shared" si="6"/>
        <v>4.7125599999999999</v>
      </c>
      <c r="R52" s="28">
        <f>Q52</f>
        <v>4.7125599999999999</v>
      </c>
      <c r="S52" s="30">
        <f t="shared" si="15"/>
        <v>0.58906999999999998</v>
      </c>
      <c r="T52" s="31">
        <v>28.9</v>
      </c>
      <c r="U52" s="32">
        <f t="shared" si="9"/>
        <v>3.6124999999999998</v>
      </c>
      <c r="V52" s="36">
        <f t="shared" si="16"/>
        <v>24.187439999999999</v>
      </c>
      <c r="W52" s="35">
        <f t="shared" si="11"/>
        <v>0.83693564013840827</v>
      </c>
    </row>
    <row r="53" spans="1:23">
      <c r="A53" t="s">
        <v>129</v>
      </c>
      <c r="B53" s="12">
        <f>$B24*Insumos!$G$4</f>
        <v>0</v>
      </c>
      <c r="C53" s="12">
        <f>C24*Insumos!$G$6</f>
        <v>0</v>
      </c>
      <c r="D53" s="12">
        <f>D24*Insumos!$G$5</f>
        <v>0</v>
      </c>
      <c r="E53" s="12">
        <f>E24*Insumos!$G$2</f>
        <v>0.20240000000000002</v>
      </c>
      <c r="F53" s="12">
        <f>F24*Insumos!$G$3</f>
        <v>0.40499999999999997</v>
      </c>
      <c r="G53" s="12">
        <f>G24*Insumos!$G$8</f>
        <v>0</v>
      </c>
      <c r="H53" s="12">
        <f>H24*Insumos!$G$11</f>
        <v>0</v>
      </c>
      <c r="I53" s="12">
        <f>I24*Insumos!$G$19</f>
        <v>0</v>
      </c>
      <c r="J53" s="12">
        <f>J24*Insumos!$G$13</f>
        <v>0</v>
      </c>
      <c r="K53" s="12">
        <f>K24*Insumos!$G$14</f>
        <v>0</v>
      </c>
      <c r="L53" s="12">
        <f>L24*Insumos!$G$20</f>
        <v>0</v>
      </c>
      <c r="M53" s="12">
        <f>M24*Insumos!$G$16</f>
        <v>0</v>
      </c>
      <c r="N53" s="12">
        <f>N24*Insumos!$G$15</f>
        <v>0</v>
      </c>
      <c r="O53" s="12">
        <f>O24*Insumos!$G$18</f>
        <v>0</v>
      </c>
      <c r="P53" s="3">
        <v>9</v>
      </c>
      <c r="Q53" s="26">
        <f t="shared" si="6"/>
        <v>0.60739999999999994</v>
      </c>
      <c r="R53" s="28">
        <f t="shared" si="14"/>
        <v>5.4665999999999997</v>
      </c>
      <c r="S53" s="30">
        <f>Q53</f>
        <v>0.60739999999999994</v>
      </c>
      <c r="T53" s="31">
        <v>28.9</v>
      </c>
      <c r="U53" s="32">
        <f t="shared" si="9"/>
        <v>3.2111111111111108</v>
      </c>
      <c r="V53" s="36">
        <f>T53-R53</f>
        <v>23.433399999999999</v>
      </c>
      <c r="W53" s="35">
        <f t="shared" si="11"/>
        <v>0.81084429065743946</v>
      </c>
    </row>
    <row r="54" spans="1:23">
      <c r="A54" t="s">
        <v>130</v>
      </c>
      <c r="B54" s="12">
        <f>$B25*Insumos!$G$4</f>
        <v>0.54899999999999993</v>
      </c>
      <c r="C54" s="12">
        <f>C25*Insumos!$G$6</f>
        <v>0</v>
      </c>
      <c r="D54" s="12">
        <f>D25*Insumos!$G$5</f>
        <v>0</v>
      </c>
      <c r="E54" s="12">
        <f>E25*Insumos!$G$2</f>
        <v>0.60720000000000007</v>
      </c>
      <c r="F54" s="12">
        <f>F25*Insumos!$G$3</f>
        <v>4.5</v>
      </c>
      <c r="G54" s="12">
        <f>G25*Insumos!$G$8</f>
        <v>0</v>
      </c>
      <c r="H54" s="12">
        <f>H25*Insumos!$G$11</f>
        <v>0</v>
      </c>
      <c r="I54" s="12">
        <f>I25*Insumos!$G$19</f>
        <v>0</v>
      </c>
      <c r="J54" s="12">
        <f>J25*Insumos!$G$13</f>
        <v>0</v>
      </c>
      <c r="K54" s="12">
        <f>K25*Insumos!$G$14</f>
        <v>0</v>
      </c>
      <c r="L54" s="12">
        <f>L25*Insumos!$G$20</f>
        <v>0</v>
      </c>
      <c r="M54" s="12">
        <f>M25*Insumos!$G$16</f>
        <v>0</v>
      </c>
      <c r="N54" s="12">
        <f>N25*Insumos!$G$15</f>
        <v>0</v>
      </c>
      <c r="O54" s="12">
        <f>O25*Insumos!$G$18</f>
        <v>0</v>
      </c>
      <c r="P54" s="3">
        <v>1</v>
      </c>
      <c r="Q54" s="26">
        <f t="shared" si="6"/>
        <v>5.6562000000000001</v>
      </c>
      <c r="R54" s="28">
        <f t="shared" si="14"/>
        <v>5.6562000000000001</v>
      </c>
      <c r="S54" s="30">
        <f t="shared" si="15"/>
        <v>5.6562000000000001</v>
      </c>
      <c r="T54" s="31">
        <v>28.9</v>
      </c>
      <c r="U54" s="32">
        <f t="shared" si="9"/>
        <v>28.9</v>
      </c>
      <c r="V54" s="36">
        <f t="shared" si="16"/>
        <v>23.2438</v>
      </c>
      <c r="W54" s="35">
        <f t="shared" si="11"/>
        <v>0.80428373702422151</v>
      </c>
    </row>
    <row r="55" spans="1:23">
      <c r="A55" t="s">
        <v>131</v>
      </c>
      <c r="B55" s="12">
        <f>$B26*Insumos!$G$4</f>
        <v>0.54899999999999993</v>
      </c>
      <c r="C55" s="12">
        <f>C26*Insumos!$G$6</f>
        <v>0</v>
      </c>
      <c r="D55" s="12">
        <f>D26*Insumos!$G$5</f>
        <v>0</v>
      </c>
      <c r="E55" s="12">
        <f>E26*Insumos!$G$2</f>
        <v>1.2645599999999999</v>
      </c>
      <c r="F55" s="12">
        <f>F26*Insumos!$G$3</f>
        <v>2.1149999999999998</v>
      </c>
      <c r="G55" s="12">
        <f>G26*Insumos!$G$8</f>
        <v>5.5E-2</v>
      </c>
      <c r="H55" s="12">
        <f>H26*Insumos!$G$11</f>
        <v>0</v>
      </c>
      <c r="I55" s="12">
        <f>I26*Insumos!$G$19</f>
        <v>0</v>
      </c>
      <c r="J55" s="12">
        <f>J26*Insumos!$G$13</f>
        <v>0</v>
      </c>
      <c r="K55" s="12">
        <f>K26*Insumos!$G$14</f>
        <v>0</v>
      </c>
      <c r="L55" s="12">
        <f>L26*Insumos!$G$20</f>
        <v>0</v>
      </c>
      <c r="M55" s="12">
        <f>M26*Insumos!$G$16</f>
        <v>0</v>
      </c>
      <c r="N55" s="12">
        <f>N26*Insumos!$G$15</f>
        <v>0</v>
      </c>
      <c r="O55" s="12">
        <f>O26*Insumos!$G$18</f>
        <v>0</v>
      </c>
      <c r="P55" s="3">
        <v>8</v>
      </c>
      <c r="Q55" s="26">
        <f t="shared" si="6"/>
        <v>3.9835599999999998</v>
      </c>
      <c r="R55" s="28">
        <f>Q55</f>
        <v>3.9835599999999998</v>
      </c>
      <c r="S55" s="30">
        <f t="shared" si="15"/>
        <v>0.49794499999999997</v>
      </c>
      <c r="T55" s="31">
        <v>28.9</v>
      </c>
      <c r="U55" s="32">
        <f t="shared" si="9"/>
        <v>3.6124999999999998</v>
      </c>
      <c r="V55" s="36">
        <f>T55-R55</f>
        <v>24.916439999999998</v>
      </c>
      <c r="W55" s="35">
        <f t="shared" si="11"/>
        <v>0.86216055363321797</v>
      </c>
    </row>
    <row r="56" spans="1:23">
      <c r="A56" t="s">
        <v>132</v>
      </c>
      <c r="B56" s="12">
        <f>$B27*Insumos!$G$4</f>
        <v>0.54899999999999993</v>
      </c>
      <c r="C56" s="12">
        <f>C27*Insumos!$G$6</f>
        <v>0</v>
      </c>
      <c r="D56" s="12">
        <f>D27*Insumos!$G$5</f>
        <v>0</v>
      </c>
      <c r="E56" s="12">
        <f>E27*Insumos!$G$2</f>
        <v>1.2645599999999999</v>
      </c>
      <c r="F56" s="12">
        <f>F27*Insumos!$G$3</f>
        <v>2.1149999999999998</v>
      </c>
      <c r="G56" s="12">
        <f>G27*Insumos!$G$8</f>
        <v>5.5E-2</v>
      </c>
      <c r="H56" s="12">
        <f>H27*Insumos!$G$11</f>
        <v>0</v>
      </c>
      <c r="I56" s="12">
        <f>I27*Insumos!$G$19</f>
        <v>0</v>
      </c>
      <c r="J56" s="12">
        <f>J27*Insumos!$G$13</f>
        <v>0</v>
      </c>
      <c r="K56" s="12">
        <f>K27*Insumos!$G$14</f>
        <v>0</v>
      </c>
      <c r="L56" s="12">
        <f>L27*Insumos!$G$20</f>
        <v>0</v>
      </c>
      <c r="M56" s="12">
        <f>M27*Insumos!$G$16</f>
        <v>0</v>
      </c>
      <c r="N56" s="12">
        <f>N27*Insumos!$G$15</f>
        <v>0</v>
      </c>
      <c r="O56" s="12">
        <f>O27*Insumos!$G$18</f>
        <v>0</v>
      </c>
      <c r="P56" s="3">
        <v>8</v>
      </c>
      <c r="Q56" s="26">
        <f t="shared" si="6"/>
        <v>3.9835599999999998</v>
      </c>
      <c r="R56" s="28">
        <f>Q56</f>
        <v>3.9835599999999998</v>
      </c>
      <c r="S56" s="30">
        <f t="shared" si="15"/>
        <v>0.49794499999999997</v>
      </c>
      <c r="T56" s="31">
        <v>28.9</v>
      </c>
      <c r="U56" s="32">
        <f t="shared" si="9"/>
        <v>3.6124999999999998</v>
      </c>
      <c r="V56" s="36">
        <f>T56-R56</f>
        <v>24.916439999999998</v>
      </c>
      <c r="W56" s="35">
        <f t="shared" si="11"/>
        <v>0.86216055363321797</v>
      </c>
    </row>
  </sheetData>
  <mergeCells count="2">
    <mergeCell ref="A1:T1"/>
    <mergeCell ref="A30:T30"/>
  </mergeCells>
  <pageMargins left="0.511811024" right="0.511811024" top="0.78740157499999996" bottom="0.78740157499999996" header="0.31496062000000002" footer="0.31496062000000002"/>
  <ignoredErrors>
    <ignoredError sqref="S39 V39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81DCD-9A87-4369-9B67-C63F7F4D159F}">
  <dimension ref="A1:D70"/>
  <sheetViews>
    <sheetView zoomScale="120" zoomScaleNormal="120" workbookViewId="0">
      <pane ySplit="1" topLeftCell="A2" activePane="bottomLeft" state="frozen"/>
      <selection pane="bottomLeft" activeCell="B2" sqref="B2"/>
    </sheetView>
  </sheetViews>
  <sheetFormatPr defaultRowHeight="14.45"/>
  <cols>
    <col min="1" max="1" width="19.42578125" customWidth="1"/>
    <col min="2" max="2" width="27.28515625" bestFit="1" customWidth="1"/>
    <col min="3" max="3" width="13.85546875" customWidth="1"/>
    <col min="4" max="4" width="19" customWidth="1"/>
  </cols>
  <sheetData>
    <row r="1" spans="1:4">
      <c r="A1" s="4" t="s">
        <v>144</v>
      </c>
      <c r="B1" s="4" t="s">
        <v>145</v>
      </c>
      <c r="C1" s="4" t="s">
        <v>146</v>
      </c>
      <c r="D1" s="4" t="s">
        <v>147</v>
      </c>
    </row>
    <row r="2" spans="1:4">
      <c r="A2" t="s">
        <v>148</v>
      </c>
      <c r="B2" t="s">
        <v>38</v>
      </c>
      <c r="C2">
        <v>1</v>
      </c>
      <c r="D2" s="2">
        <f>Embalagens!C2</f>
        <v>1.59</v>
      </c>
    </row>
    <row r="3" spans="1:4">
      <c r="A3" t="s">
        <v>149</v>
      </c>
      <c r="B3" t="s">
        <v>39</v>
      </c>
      <c r="C3">
        <v>1</v>
      </c>
      <c r="D3" s="2">
        <f>Embalagens!C3</f>
        <v>1.99</v>
      </c>
    </row>
    <row r="4" spans="1:4">
      <c r="A4" t="s">
        <v>150</v>
      </c>
      <c r="B4" t="s">
        <v>40</v>
      </c>
      <c r="C4">
        <v>1</v>
      </c>
      <c r="D4" s="2">
        <f>Embalagens!C4</f>
        <v>3.25</v>
      </c>
    </row>
    <row r="5" spans="1:4">
      <c r="A5" t="s">
        <v>150</v>
      </c>
      <c r="B5" t="s">
        <v>151</v>
      </c>
      <c r="C5">
        <v>4</v>
      </c>
    </row>
    <row r="6" spans="1:4">
      <c r="A6" t="s">
        <v>152</v>
      </c>
      <c r="B6" t="s">
        <v>153</v>
      </c>
      <c r="C6">
        <v>20</v>
      </c>
      <c r="D6" s="2">
        <f>produto!$S$38*Combos!C2</f>
        <v>0.37504499999999996</v>
      </c>
    </row>
    <row r="7" spans="1:4">
      <c r="A7" t="s">
        <v>154</v>
      </c>
      <c r="B7" t="s">
        <v>153</v>
      </c>
      <c r="C7">
        <v>8</v>
      </c>
      <c r="D7" s="2">
        <f>produto!$S$38*Combos!C11</f>
        <v>1.5001799999999998</v>
      </c>
    </row>
    <row r="8" spans="1:4">
      <c r="A8" t="s">
        <v>155</v>
      </c>
      <c r="B8" t="s">
        <v>153</v>
      </c>
      <c r="C8">
        <v>10</v>
      </c>
      <c r="D8" s="2">
        <f>produto!$S$38*Combos!C10</f>
        <v>1.5001799999999998</v>
      </c>
    </row>
    <row r="9" spans="1:4">
      <c r="A9" t="s">
        <v>156</v>
      </c>
      <c r="B9" t="s">
        <v>153</v>
      </c>
      <c r="C9">
        <v>4</v>
      </c>
      <c r="D9" s="2">
        <f>produto!$S$38*Combos!C8</f>
        <v>3.7504499999999998</v>
      </c>
    </row>
    <row r="10" spans="1:4">
      <c r="A10" t="s">
        <v>149</v>
      </c>
      <c r="B10" t="s">
        <v>153</v>
      </c>
      <c r="C10">
        <v>4</v>
      </c>
      <c r="D10" s="2">
        <f>produto!$S$38*Combos!C5</f>
        <v>1.5001799999999998</v>
      </c>
    </row>
    <row r="11" spans="1:4">
      <c r="A11" t="s">
        <v>150</v>
      </c>
      <c r="B11" t="s">
        <v>153</v>
      </c>
      <c r="C11">
        <v>4</v>
      </c>
      <c r="D11" s="2">
        <f>produto!$S$38*Combos!C6</f>
        <v>7.5008999999999997</v>
      </c>
    </row>
    <row r="12" spans="1:4">
      <c r="A12" t="s">
        <v>157</v>
      </c>
      <c r="B12" t="s">
        <v>153</v>
      </c>
      <c r="C12">
        <v>8</v>
      </c>
      <c r="D12" s="2">
        <f>produto!$S$38*Combos!C9</f>
        <v>1.5001799999999998</v>
      </c>
    </row>
    <row r="13" spans="1:4">
      <c r="A13" t="s">
        <v>157</v>
      </c>
      <c r="B13" t="s">
        <v>153</v>
      </c>
      <c r="C13">
        <v>8</v>
      </c>
      <c r="D13" s="2">
        <f>produto!$S$38*Combos!C13</f>
        <v>3.0003599999999997</v>
      </c>
    </row>
    <row r="14" spans="1:4">
      <c r="A14" t="s">
        <v>152</v>
      </c>
      <c r="B14" t="s">
        <v>158</v>
      </c>
      <c r="C14">
        <v>10</v>
      </c>
      <c r="D14" s="2">
        <f>produto!S38*Combos!C14</f>
        <v>3.7504499999999998</v>
      </c>
    </row>
    <row r="15" spans="1:4">
      <c r="A15" t="s">
        <v>152</v>
      </c>
      <c r="B15" t="s">
        <v>141</v>
      </c>
      <c r="C15">
        <v>10</v>
      </c>
      <c r="D15" s="2">
        <f>produto!$S$47*Combos!C18</f>
        <v>1.5491670106382978</v>
      </c>
    </row>
    <row r="16" spans="1:4">
      <c r="A16" t="s">
        <v>154</v>
      </c>
      <c r="B16" t="s">
        <v>141</v>
      </c>
      <c r="C16">
        <v>6</v>
      </c>
      <c r="D16" s="2">
        <f>produto!$S$47*Combos!C15</f>
        <v>3.8729175265957445</v>
      </c>
    </row>
    <row r="17" spans="1:4">
      <c r="A17" t="s">
        <v>148</v>
      </c>
      <c r="B17" t="s">
        <v>141</v>
      </c>
      <c r="C17">
        <v>3</v>
      </c>
      <c r="D17" s="2">
        <f>produto!$S$47*Combos!C17</f>
        <v>1.1618752579787233</v>
      </c>
    </row>
    <row r="18" spans="1:4">
      <c r="A18" t="s">
        <v>149</v>
      </c>
      <c r="B18" t="s">
        <v>141</v>
      </c>
      <c r="C18">
        <v>4</v>
      </c>
      <c r="D18" s="2">
        <f>produto!$S$47*Combos!C16</f>
        <v>2.3237505159574465</v>
      </c>
    </row>
    <row r="19" spans="1:4">
      <c r="A19" t="s">
        <v>157</v>
      </c>
      <c r="B19" t="s">
        <v>141</v>
      </c>
      <c r="C19">
        <v>8</v>
      </c>
      <c r="D19" s="2">
        <f>produto!$S$47*Combos!C19</f>
        <v>3.0983340212765955</v>
      </c>
    </row>
    <row r="20" spans="1:4">
      <c r="A20" t="s">
        <v>152</v>
      </c>
      <c r="B20" t="s">
        <v>159</v>
      </c>
      <c r="C20">
        <v>10</v>
      </c>
      <c r="D20" s="2">
        <f>produto!$S$49*Combos!C20</f>
        <v>6.118199999999999</v>
      </c>
    </row>
    <row r="21" spans="1:4">
      <c r="A21" t="s">
        <v>155</v>
      </c>
      <c r="B21" t="s">
        <v>159</v>
      </c>
      <c r="C21">
        <v>10</v>
      </c>
      <c r="D21" s="2">
        <f>produto!$S$49*Combos!C21</f>
        <v>6.118199999999999</v>
      </c>
    </row>
    <row r="22" spans="1:4">
      <c r="A22" t="s">
        <v>160</v>
      </c>
      <c r="B22" t="s">
        <v>159</v>
      </c>
      <c r="C22">
        <v>5</v>
      </c>
      <c r="D22" s="2">
        <f>produto!$S$49*Combos!C22</f>
        <v>3.0590999999999995</v>
      </c>
    </row>
    <row r="23" spans="1:4">
      <c r="A23" t="s">
        <v>152</v>
      </c>
      <c r="B23" t="s">
        <v>119</v>
      </c>
      <c r="C23">
        <v>8</v>
      </c>
      <c r="D23" s="2">
        <f>produto!$S$42*Combos!C24</f>
        <v>3.3431999999999999</v>
      </c>
    </row>
    <row r="24" spans="1:4">
      <c r="A24" t="s">
        <v>154</v>
      </c>
      <c r="B24" t="s">
        <v>119</v>
      </c>
      <c r="C24">
        <v>4</v>
      </c>
      <c r="D24" s="2">
        <f>produto!$S$42*Combos!C23</f>
        <v>6.6863999999999999</v>
      </c>
    </row>
    <row r="25" spans="1:4">
      <c r="A25" t="s">
        <v>155</v>
      </c>
      <c r="B25" t="s">
        <v>119</v>
      </c>
      <c r="C25">
        <v>6</v>
      </c>
      <c r="D25" s="2">
        <f>produto!$S$42*Combos!C25</f>
        <v>5.0148000000000001</v>
      </c>
    </row>
    <row r="26" spans="1:4">
      <c r="A26" t="s">
        <v>155</v>
      </c>
      <c r="B26" t="s">
        <v>118</v>
      </c>
      <c r="C26">
        <v>6</v>
      </c>
      <c r="D26" s="2">
        <f>produto!$S$41*Combos!C27</f>
        <v>3.7692166666666664</v>
      </c>
    </row>
    <row r="27" spans="1:4">
      <c r="A27" t="s">
        <v>149</v>
      </c>
      <c r="B27" t="s">
        <v>118</v>
      </c>
      <c r="C27">
        <v>4</v>
      </c>
      <c r="D27" s="2">
        <f>produto!$S$41*Combos!C26</f>
        <v>5.6538249999999994</v>
      </c>
    </row>
    <row r="28" spans="1:4">
      <c r="A28" t="s">
        <v>152</v>
      </c>
      <c r="B28" t="s">
        <v>161</v>
      </c>
      <c r="C28">
        <v>8</v>
      </c>
      <c r="D28" s="2">
        <f>produto!$S$50*Combos!C28</f>
        <v>0.81979999999999997</v>
      </c>
    </row>
    <row r="29" spans="1:4">
      <c r="A29" t="s">
        <v>154</v>
      </c>
      <c r="B29" t="s">
        <v>161</v>
      </c>
      <c r="C29">
        <v>4</v>
      </c>
      <c r="D29" s="2">
        <f>produto!$S$50*Combos!C29</f>
        <v>0.40989999999999999</v>
      </c>
    </row>
    <row r="30" spans="1:4">
      <c r="A30" t="s">
        <v>148</v>
      </c>
      <c r="B30" t="s">
        <v>161</v>
      </c>
      <c r="C30">
        <v>3</v>
      </c>
      <c r="D30" s="2">
        <f>produto!$S$50*Combos!C30</f>
        <v>0.307425</v>
      </c>
    </row>
    <row r="31" spans="1:4">
      <c r="A31" t="s">
        <v>150</v>
      </c>
      <c r="B31" t="s">
        <v>161</v>
      </c>
      <c r="C31">
        <v>4</v>
      </c>
      <c r="D31" s="2">
        <f>produto!$S$50*Combos!C31</f>
        <v>0.40989999999999999</v>
      </c>
    </row>
    <row r="32" spans="1:4">
      <c r="A32" t="s">
        <v>152</v>
      </c>
      <c r="B32" t="s">
        <v>117</v>
      </c>
      <c r="C32">
        <v>8</v>
      </c>
      <c r="D32" s="2">
        <f>produto!$S$40*Combos!C33</f>
        <v>3.2791999999999999</v>
      </c>
    </row>
    <row r="33" spans="1:4">
      <c r="A33" t="s">
        <v>154</v>
      </c>
      <c r="B33" t="s">
        <v>117</v>
      </c>
      <c r="C33">
        <v>4</v>
      </c>
      <c r="D33" s="2">
        <f>produto!$S$40*Combos!C34</f>
        <v>4.9188000000000001</v>
      </c>
    </row>
    <row r="34" spans="1:4">
      <c r="A34" t="s">
        <v>155</v>
      </c>
      <c r="B34" t="s">
        <v>117</v>
      </c>
      <c r="C34">
        <v>6</v>
      </c>
      <c r="D34" s="2">
        <f>produto!$S$40*Combos!C32</f>
        <v>6.5583999999999998</v>
      </c>
    </row>
    <row r="35" spans="1:4">
      <c r="A35" t="s">
        <v>156</v>
      </c>
      <c r="B35" t="s">
        <v>117</v>
      </c>
      <c r="C35">
        <v>3</v>
      </c>
      <c r="D35" s="2">
        <f>produto!$S$40*Combos!C35</f>
        <v>2.4594</v>
      </c>
    </row>
    <row r="36" spans="1:4">
      <c r="A36" t="s">
        <v>160</v>
      </c>
      <c r="B36" t="s">
        <v>162</v>
      </c>
      <c r="C36">
        <v>4</v>
      </c>
      <c r="D36" s="2">
        <f>produto!$S$42*Combos!C36</f>
        <v>3.3431999999999999</v>
      </c>
    </row>
    <row r="37" spans="1:4">
      <c r="A37" t="s">
        <v>152</v>
      </c>
      <c r="B37" t="s">
        <v>116</v>
      </c>
      <c r="C37">
        <v>10</v>
      </c>
      <c r="D37" s="2">
        <f>produto!$S$39*Combos!C40</f>
        <v>1.5522000000000002</v>
      </c>
    </row>
    <row r="38" spans="1:4">
      <c r="A38" t="s">
        <v>155</v>
      </c>
      <c r="B38" t="s">
        <v>116</v>
      </c>
      <c r="C38">
        <v>10</v>
      </c>
      <c r="D38" s="2">
        <f>produto!$S$39*Combos!C38</f>
        <v>5.1740000000000013</v>
      </c>
    </row>
    <row r="39" spans="1:4">
      <c r="A39" t="s">
        <v>156</v>
      </c>
      <c r="B39" t="s">
        <v>116</v>
      </c>
      <c r="C39">
        <v>6</v>
      </c>
      <c r="D39" s="2">
        <f>produto!$S$39*Combos!C41</f>
        <v>1.0348000000000002</v>
      </c>
    </row>
    <row r="40" spans="1:4">
      <c r="A40" t="s">
        <v>148</v>
      </c>
      <c r="B40" t="s">
        <v>116</v>
      </c>
      <c r="C40">
        <v>3</v>
      </c>
      <c r="D40" s="2">
        <f>produto!$S$39*Combos!C37</f>
        <v>5.1740000000000013</v>
      </c>
    </row>
    <row r="41" spans="1:4">
      <c r="A41" t="s">
        <v>150</v>
      </c>
      <c r="B41" t="s">
        <v>116</v>
      </c>
      <c r="C41">
        <v>2</v>
      </c>
      <c r="D41" s="2">
        <f>produto!$S$39*Combos!C39</f>
        <v>3.1044000000000005</v>
      </c>
    </row>
    <row r="42" spans="1:4">
      <c r="A42" t="s">
        <v>157</v>
      </c>
      <c r="B42" t="s">
        <v>163</v>
      </c>
      <c r="C42">
        <v>6</v>
      </c>
      <c r="D42" s="2">
        <f>produto!$S$53*Combos!C42</f>
        <v>3.6443999999999996</v>
      </c>
    </row>
    <row r="43" spans="1:4">
      <c r="A43" t="s">
        <v>152</v>
      </c>
      <c r="B43" t="s">
        <v>164</v>
      </c>
      <c r="C43">
        <v>10</v>
      </c>
      <c r="D43" s="2">
        <f>produto!$S$51*Combos!C43</f>
        <v>0.574888888888889</v>
      </c>
    </row>
    <row r="44" spans="1:4">
      <c r="A44" t="s">
        <v>155</v>
      </c>
      <c r="B44" t="s">
        <v>164</v>
      </c>
      <c r="C44">
        <v>5</v>
      </c>
      <c r="D44" s="2">
        <f>produto!$S$51*Combos!C44</f>
        <v>0.2874444444444445</v>
      </c>
    </row>
    <row r="45" spans="1:4">
      <c r="A45" t="s">
        <v>150</v>
      </c>
      <c r="B45" t="s">
        <v>164</v>
      </c>
      <c r="C45">
        <v>2</v>
      </c>
      <c r="D45" s="2">
        <f>produto!$S$51*Combos!C45</f>
        <v>0.11497777777777779</v>
      </c>
    </row>
    <row r="46" spans="1:4">
      <c r="A46" t="s">
        <v>148</v>
      </c>
      <c r="B46" t="s">
        <v>165</v>
      </c>
      <c r="C46">
        <v>3</v>
      </c>
      <c r="D46" s="2">
        <f>produto!$S$43*Combos!C46</f>
        <v>1.8900000000000001</v>
      </c>
    </row>
    <row r="47" spans="1:4">
      <c r="A47" t="s">
        <v>152</v>
      </c>
      <c r="B47" t="s">
        <v>166</v>
      </c>
      <c r="C47">
        <v>30</v>
      </c>
      <c r="D47" s="2">
        <f>produto!$S$43*Combos!C48</f>
        <v>6.3</v>
      </c>
    </row>
    <row r="48" spans="1:4">
      <c r="A48" t="s">
        <v>154</v>
      </c>
      <c r="B48" t="s">
        <v>166</v>
      </c>
      <c r="C48">
        <v>10</v>
      </c>
      <c r="D48" s="2">
        <f>produto!$S$43*Combos!C50</f>
        <v>3.7800000000000002</v>
      </c>
    </row>
    <row r="49" spans="1:4">
      <c r="A49" t="s">
        <v>155</v>
      </c>
      <c r="B49" t="s">
        <v>166</v>
      </c>
      <c r="C49">
        <v>20</v>
      </c>
      <c r="D49" s="2">
        <f>produto!$S$43*Combos!C49</f>
        <v>12.6</v>
      </c>
    </row>
    <row r="50" spans="1:4">
      <c r="A50" t="s">
        <v>156</v>
      </c>
      <c r="B50" t="s">
        <v>166</v>
      </c>
      <c r="C50">
        <v>6</v>
      </c>
      <c r="D50" s="2">
        <f>produto!$S$43*Combos!C51</f>
        <v>3.15</v>
      </c>
    </row>
    <row r="51" spans="1:4">
      <c r="A51" t="s">
        <v>149</v>
      </c>
      <c r="B51" t="s">
        <v>166</v>
      </c>
      <c r="C51">
        <v>5</v>
      </c>
      <c r="D51" s="2">
        <f>produto!$S$43*Combos!C52</f>
        <v>5.04</v>
      </c>
    </row>
    <row r="52" spans="1:4">
      <c r="A52" t="s">
        <v>157</v>
      </c>
      <c r="B52" t="s">
        <v>166</v>
      </c>
      <c r="C52">
        <v>8</v>
      </c>
      <c r="D52" s="2">
        <f>produto!$S$43*Combos!C47</f>
        <v>18.899999999999999</v>
      </c>
    </row>
    <row r="53" spans="1:4">
      <c r="A53" t="s">
        <v>160</v>
      </c>
      <c r="B53" t="s">
        <v>166</v>
      </c>
      <c r="C53">
        <v>10</v>
      </c>
      <c r="D53" s="2">
        <f>produto!$S$43*Combos!C53</f>
        <v>6.3</v>
      </c>
    </row>
    <row r="54" spans="1:4">
      <c r="A54" t="s">
        <v>160</v>
      </c>
      <c r="B54" t="s">
        <v>167</v>
      </c>
      <c r="C54">
        <v>1</v>
      </c>
    </row>
    <row r="55" spans="1:4">
      <c r="A55" t="s">
        <v>150</v>
      </c>
      <c r="B55" t="s">
        <v>168</v>
      </c>
      <c r="C55">
        <v>1</v>
      </c>
      <c r="D55" s="2">
        <f>produto!$S$54*Combos!C55</f>
        <v>5.6562000000000001</v>
      </c>
    </row>
    <row r="56" spans="1:4">
      <c r="A56" t="s">
        <v>157</v>
      </c>
      <c r="B56" t="s">
        <v>109</v>
      </c>
      <c r="C56">
        <v>1</v>
      </c>
      <c r="D56" s="2">
        <f>produto!S32*Combos!C56</f>
        <v>6.3323999999999998</v>
      </c>
    </row>
    <row r="57" spans="1:4">
      <c r="A57" t="s">
        <v>156</v>
      </c>
      <c r="B57" t="s">
        <v>169</v>
      </c>
      <c r="C57">
        <v>1</v>
      </c>
      <c r="D57" s="2">
        <f>produto!S34*Combos!C57</f>
        <v>5.6562000000000001</v>
      </c>
    </row>
    <row r="58" spans="1:4">
      <c r="A58" t="s">
        <v>150</v>
      </c>
      <c r="B58" t="s">
        <v>170</v>
      </c>
      <c r="C58">
        <v>4</v>
      </c>
      <c r="D58" s="2">
        <f>produto!S55*Combos!C58</f>
        <v>1.9917799999999999</v>
      </c>
    </row>
    <row r="59" spans="1:4">
      <c r="A59" t="s">
        <v>152</v>
      </c>
      <c r="B59" t="s">
        <v>113</v>
      </c>
      <c r="C59">
        <v>10</v>
      </c>
      <c r="D59" s="2">
        <f>produto!S37*Combos!C60</f>
        <v>2.4472799999999997</v>
      </c>
    </row>
    <row r="60" spans="1:4">
      <c r="A60" t="s">
        <v>154</v>
      </c>
      <c r="B60" t="s">
        <v>113</v>
      </c>
      <c r="C60">
        <v>4</v>
      </c>
      <c r="D60" s="2">
        <f>produto!S39*Combos!C62</f>
        <v>1.5522000000000002</v>
      </c>
    </row>
    <row r="61" spans="1:4">
      <c r="A61" t="s">
        <v>156</v>
      </c>
      <c r="B61" t="s">
        <v>113</v>
      </c>
      <c r="C61">
        <v>4</v>
      </c>
      <c r="D61" s="2">
        <f>produto!S36*Combos!C59</f>
        <v>5.8906999999999998</v>
      </c>
    </row>
    <row r="62" spans="1:4">
      <c r="A62" t="s">
        <v>149</v>
      </c>
      <c r="B62" t="s">
        <v>113</v>
      </c>
      <c r="C62">
        <v>3</v>
      </c>
      <c r="D62" s="2">
        <f>produto!S38*Combos!C61</f>
        <v>1.5001799999999998</v>
      </c>
    </row>
    <row r="63" spans="1:4">
      <c r="A63" t="s">
        <v>154</v>
      </c>
      <c r="B63" t="s">
        <v>171</v>
      </c>
      <c r="C63">
        <v>4</v>
      </c>
      <c r="D63" s="2">
        <f>produto!$S$37*Combos!C64</f>
        <v>1.8354599999999999</v>
      </c>
    </row>
    <row r="64" spans="1:4">
      <c r="A64" t="s">
        <v>148</v>
      </c>
      <c r="B64" t="s">
        <v>171</v>
      </c>
      <c r="C64">
        <v>3</v>
      </c>
      <c r="D64" s="2">
        <f>produto!$S$37*Combos!C63</f>
        <v>2.4472799999999997</v>
      </c>
    </row>
    <row r="65" spans="1:4">
      <c r="A65" t="s">
        <v>152</v>
      </c>
      <c r="B65" t="s">
        <v>172</v>
      </c>
      <c r="C65">
        <v>10</v>
      </c>
      <c r="D65" s="2">
        <f>produto!$S$52*Combos!C65</f>
        <v>5.8906999999999998</v>
      </c>
    </row>
    <row r="66" spans="1:4">
      <c r="A66" t="s">
        <v>155</v>
      </c>
      <c r="B66" t="s">
        <v>172</v>
      </c>
      <c r="C66">
        <v>10</v>
      </c>
      <c r="D66" s="2">
        <f>produto!$S$52*Combos!C66</f>
        <v>5.8906999999999998</v>
      </c>
    </row>
    <row r="67" spans="1:4">
      <c r="A67" t="s">
        <v>160</v>
      </c>
      <c r="B67" t="s">
        <v>172</v>
      </c>
      <c r="C67">
        <v>4</v>
      </c>
      <c r="D67" s="2">
        <f>produto!$S$52*Combos!C67</f>
        <v>2.3562799999999999</v>
      </c>
    </row>
    <row r="68" spans="1:4">
      <c r="A68" t="s">
        <v>152</v>
      </c>
      <c r="B68" t="s">
        <v>114</v>
      </c>
      <c r="C68">
        <v>10</v>
      </c>
      <c r="D68" s="2">
        <f>produto!$S$37*Combos!C68</f>
        <v>6.118199999999999</v>
      </c>
    </row>
    <row r="69" spans="1:4">
      <c r="A69" t="s">
        <v>157</v>
      </c>
      <c r="B69" t="s">
        <v>114</v>
      </c>
      <c r="C69">
        <v>8</v>
      </c>
      <c r="D69" s="2">
        <f>produto!$S$37*Combos!C69</f>
        <v>4.8945599999999994</v>
      </c>
    </row>
    <row r="70" spans="1:4">
      <c r="A70" t="s">
        <v>160</v>
      </c>
      <c r="B70" t="s">
        <v>173</v>
      </c>
      <c r="C70">
        <v>4</v>
      </c>
      <c r="D70" s="2">
        <f>produto!$S$56*Combos!C70</f>
        <v>1.9917799999999999</v>
      </c>
    </row>
  </sheetData>
  <autoFilter ref="A1:D70" xr:uid="{22581DCD-9A87-4369-9B67-C63F7F4D159F}">
    <sortState xmlns:xlrd2="http://schemas.microsoft.com/office/spreadsheetml/2017/richdata2" ref="A2:D70">
      <sortCondition ref="B1:B70"/>
    </sortState>
  </autoFilter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70313-3072-4390-8FBF-1D45770E9DC5}">
  <dimension ref="A1:G12"/>
  <sheetViews>
    <sheetView zoomScale="130" zoomScaleNormal="130" workbookViewId="0">
      <selection activeCell="E10" sqref="E10"/>
    </sheetView>
  </sheetViews>
  <sheetFormatPr defaultRowHeight="14.45"/>
  <cols>
    <col min="1" max="1" width="16.7109375" bestFit="1" customWidth="1"/>
    <col min="2" max="2" width="23.42578125" customWidth="1"/>
    <col min="3" max="3" width="14.28515625" customWidth="1"/>
    <col min="4" max="4" width="10.28515625" customWidth="1"/>
    <col min="5" max="5" width="16.28515625" customWidth="1"/>
    <col min="6" max="6" width="12.7109375" bestFit="1" customWidth="1"/>
    <col min="7" max="7" width="18.42578125" bestFit="1" customWidth="1"/>
  </cols>
  <sheetData>
    <row r="1" spans="1:7">
      <c r="A1" s="13" t="s">
        <v>174</v>
      </c>
      <c r="B1" t="s">
        <v>175</v>
      </c>
      <c r="C1" s="4" t="s">
        <v>144</v>
      </c>
      <c r="D1" s="4" t="s">
        <v>176</v>
      </c>
      <c r="E1" s="4" t="s">
        <v>177</v>
      </c>
      <c r="F1" s="4" t="s">
        <v>178</v>
      </c>
      <c r="G1" s="4" t="s">
        <v>140</v>
      </c>
    </row>
    <row r="2" spans="1:7">
      <c r="A2" s="14" t="s">
        <v>152</v>
      </c>
      <c r="B2" s="7">
        <v>78.08305641548462</v>
      </c>
      <c r="C2" s="14" t="s">
        <v>152</v>
      </c>
      <c r="D2" s="1">
        <v>78.08305641548462</v>
      </c>
      <c r="E2" s="1">
        <v>349.9</v>
      </c>
      <c r="F2" s="2">
        <f>E2-D2</f>
        <v>271.81694358451534</v>
      </c>
      <c r="G2" s="57">
        <f>F2/E2</f>
        <v>0.77684179361107564</v>
      </c>
    </row>
    <row r="3" spans="1:7">
      <c r="A3" s="14" t="s">
        <v>154</v>
      </c>
      <c r="B3" s="7">
        <v>23.173290515957447</v>
      </c>
      <c r="C3" s="14" t="s">
        <v>154</v>
      </c>
      <c r="D3" s="1">
        <v>23.173290515957447</v>
      </c>
      <c r="E3" s="1">
        <v>119.9</v>
      </c>
      <c r="F3" s="2">
        <f t="shared" ref="F3:F12" si="0">E3-D3</f>
        <v>96.726709484042559</v>
      </c>
      <c r="G3" s="57">
        <f t="shared" ref="G3:G12" si="1">F3/E3</f>
        <v>0.80672818585523398</v>
      </c>
    </row>
    <row r="4" spans="1:7">
      <c r="A4" s="14" t="s">
        <v>155</v>
      </c>
      <c r="B4" s="7">
        <v>49.408219444444448</v>
      </c>
      <c r="C4" s="14" t="s">
        <v>155</v>
      </c>
      <c r="D4" s="1">
        <v>49.408219444444448</v>
      </c>
      <c r="E4" s="1">
        <v>216.9</v>
      </c>
      <c r="F4" s="2">
        <f t="shared" si="0"/>
        <v>167.49178055555555</v>
      </c>
      <c r="G4" s="57">
        <f t="shared" si="1"/>
        <v>0.77220737923262128</v>
      </c>
    </row>
    <row r="5" spans="1:7">
      <c r="A5" s="14" t="s">
        <v>156</v>
      </c>
      <c r="B5" s="7">
        <v>18.856459999999998</v>
      </c>
      <c r="C5" s="14" t="s">
        <v>156</v>
      </c>
      <c r="D5" s="1">
        <v>18.856459999999998</v>
      </c>
      <c r="E5" s="1">
        <v>95.9</v>
      </c>
      <c r="F5" s="2">
        <f t="shared" si="0"/>
        <v>77.043540000000007</v>
      </c>
      <c r="G5" s="57">
        <f t="shared" si="1"/>
        <v>0.80337372262773721</v>
      </c>
    </row>
    <row r="6" spans="1:7">
      <c r="A6" s="14" t="s">
        <v>148</v>
      </c>
      <c r="B6" s="7">
        <v>8.3369602579787223</v>
      </c>
      <c r="C6" s="14" t="s">
        <v>148</v>
      </c>
      <c r="D6" s="1">
        <v>8.3369602579787223</v>
      </c>
      <c r="E6" s="1">
        <v>45.9</v>
      </c>
      <c r="F6" s="2">
        <f t="shared" si="0"/>
        <v>37.563039742021274</v>
      </c>
      <c r="G6" s="57">
        <f t="shared" si="1"/>
        <v>0.81836687891113891</v>
      </c>
    </row>
    <row r="7" spans="1:7">
      <c r="A7" s="14" t="s">
        <v>149</v>
      </c>
      <c r="B7" s="7">
        <v>13.083698677304964</v>
      </c>
      <c r="C7" s="14" t="s">
        <v>149</v>
      </c>
      <c r="D7" s="1">
        <v>13.083698677304964</v>
      </c>
      <c r="E7" s="1">
        <v>79.900000000000006</v>
      </c>
      <c r="F7" s="2">
        <f t="shared" si="0"/>
        <v>66.81630132269504</v>
      </c>
      <c r="G7" s="57">
        <f t="shared" si="1"/>
        <v>0.83624907788103919</v>
      </c>
    </row>
    <row r="8" spans="1:7">
      <c r="A8" s="14" t="s">
        <v>150</v>
      </c>
      <c r="B8" s="7">
        <v>13.95783777777778</v>
      </c>
      <c r="C8" s="14" t="s">
        <v>150</v>
      </c>
      <c r="D8" s="1">
        <v>13.95783777777778</v>
      </c>
      <c r="E8" s="1">
        <v>58.9</v>
      </c>
      <c r="F8" s="2">
        <f t="shared" si="0"/>
        <v>44.942162222222223</v>
      </c>
      <c r="G8" s="57">
        <f t="shared" si="1"/>
        <v>0.76302482550462181</v>
      </c>
    </row>
    <row r="9" spans="1:7">
      <c r="A9" s="14" t="s">
        <v>157</v>
      </c>
      <c r="B9" s="7">
        <v>29.010414021276592</v>
      </c>
      <c r="C9" s="14" t="s">
        <v>157</v>
      </c>
      <c r="D9" s="1">
        <v>29.010414021276592</v>
      </c>
      <c r="E9" s="1">
        <v>112.9</v>
      </c>
      <c r="F9" s="2">
        <f t="shared" si="0"/>
        <v>83.889585978723417</v>
      </c>
      <c r="G9" s="57">
        <f t="shared" si="1"/>
        <v>0.7430432770480373</v>
      </c>
    </row>
    <row r="10" spans="1:7">
      <c r="A10" s="14" t="s">
        <v>160</v>
      </c>
      <c r="B10" s="7">
        <v>17.050359999999998</v>
      </c>
      <c r="C10" s="14" t="s">
        <v>160</v>
      </c>
      <c r="D10" s="1">
        <v>17.050359999999998</v>
      </c>
      <c r="E10" s="1">
        <v>95.9</v>
      </c>
      <c r="F10" s="2">
        <f t="shared" si="0"/>
        <v>78.849640000000008</v>
      </c>
      <c r="G10" s="57">
        <f t="shared" si="1"/>
        <v>0.82220688216892601</v>
      </c>
    </row>
    <row r="11" spans="1:7">
      <c r="A11" s="14" t="s">
        <v>179</v>
      </c>
      <c r="B11" s="7"/>
      <c r="C11" s="7"/>
      <c r="D11" s="7"/>
      <c r="F11" s="2"/>
      <c r="G11" s="41"/>
    </row>
    <row r="12" spans="1:7">
      <c r="A12" s="14" t="s">
        <v>180</v>
      </c>
      <c r="B12" s="40">
        <v>250.96029711022459</v>
      </c>
      <c r="C12" s="40"/>
      <c r="D12" s="40"/>
      <c r="F12" s="2"/>
      <c r="G12" s="41"/>
    </row>
  </sheetData>
  <pageMargins left="0.511811024" right="0.511811024" top="0.78740157499999996" bottom="0.78740157499999996" header="0.31496062000000002" footer="0.31496062000000002"/>
  <pageSetup paperSize="256" orientation="landscape" horizontalDpi="203" verticalDpi="203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Everton Nascimento</dc:creator>
  <cp:keywords/>
  <dc:description/>
  <cp:lastModifiedBy/>
  <cp:revision/>
  <dcterms:created xsi:type="dcterms:W3CDTF">2025-08-04T14:56:33Z</dcterms:created>
  <dcterms:modified xsi:type="dcterms:W3CDTF">2026-07-03T22:06:47Z</dcterms:modified>
  <cp:category/>
  <cp:contentStatus/>
</cp:coreProperties>
</file>